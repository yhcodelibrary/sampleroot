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\sampleroot\database\02.first_data\"/>
    </mc:Choice>
  </mc:AlternateContent>
  <xr:revisionPtr revIDLastSave="0" documentId="13_ncr:1_{8CCBBDE5-056B-4BD7-93A6-6E0EAF288C54}" xr6:coauthVersionLast="36" xr6:coauthVersionMax="36" xr10:uidLastSave="{00000000-0000-0000-0000-000000000000}"/>
  <bookViews>
    <workbookView xWindow="0" yWindow="0" windowWidth="17520" windowHeight="9435" firstSheet="5" activeTab="5" xr2:uid="{65C70A47-B6BE-418A-8844-13468713C393}"/>
  </bookViews>
  <sheets>
    <sheet name="一覧" sheetId="5" r:id="rId1"/>
    <sheet name="mst" sheetId="1" r:id="rId2"/>
    <sheet name="フロー一覧" sheetId="6" r:id="rId3"/>
    <sheet name="InsStart" sheetId="12" r:id="rId4"/>
    <sheet name="DelEnd" sheetId="13" r:id="rId5"/>
    <sheet name="T_SMP_Event" sheetId="2" r:id="rId6"/>
    <sheet name="M_SMP_CommonValues" sheetId="3" r:id="rId7"/>
    <sheet name="M_COM_User" sheetId="4" r:id="rId8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21" i="2" l="1"/>
  <c r="G19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 l="1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0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</calcChain>
</file>

<file path=xl/sharedStrings.xml><?xml version="1.0" encoding="utf-8"?>
<sst xmlns="http://schemas.openxmlformats.org/spreadsheetml/2006/main" count="1165" uniqueCount="201">
  <si>
    <t>空文字</t>
    <rPh sb="0" eb="1">
      <t>カラ</t>
    </rPh>
    <rPh sb="1" eb="3">
      <t>モジ</t>
    </rPh>
    <phoneticPr fontId="1"/>
  </si>
  <si>
    <t>クオート無し</t>
    <rPh sb="4" eb="5">
      <t>ナ</t>
    </rPh>
    <phoneticPr fontId="1"/>
  </si>
  <si>
    <t>開始行</t>
    <rPh sb="0" eb="2">
      <t>カイシ</t>
    </rPh>
    <rPh sb="2" eb="3">
      <t>ギョウ</t>
    </rPh>
    <phoneticPr fontId="1"/>
  </si>
  <si>
    <t>int</t>
  </si>
  <si>
    <t>userId</t>
  </si>
  <si>
    <t>type</t>
  </si>
  <si>
    <t>VARCHAR (3)</t>
    <phoneticPr fontId="1"/>
  </si>
  <si>
    <t>category</t>
  </si>
  <si>
    <t>detail</t>
  </si>
  <si>
    <t>note</t>
  </si>
  <si>
    <t>VARCHAR (200)</t>
  </si>
  <si>
    <t>VARCHAR (2000)</t>
  </si>
  <si>
    <t>ssCreateDate</t>
  </si>
  <si>
    <t>ssCreatePrg</t>
  </si>
  <si>
    <t>VARCHAR (100)</t>
  </si>
  <si>
    <t>datetime</t>
  </si>
  <si>
    <t>ssUpdateDate</t>
  </si>
  <si>
    <t>ssUpdatePrg</t>
  </si>
  <si>
    <t>ssVersion</t>
  </si>
  <si>
    <t>ステータス</t>
    <phoneticPr fontId="1"/>
  </si>
  <si>
    <t>追加</t>
    <rPh sb="0" eb="2">
      <t>ツイカ</t>
    </rPh>
    <phoneticPr fontId="1"/>
  </si>
  <si>
    <t>now()</t>
    <phoneticPr fontId="1"/>
  </si>
  <si>
    <t>eventDate</t>
    <phoneticPr fontId="1"/>
  </si>
  <si>
    <t>Init</t>
    <phoneticPr fontId="1"/>
  </si>
  <si>
    <t>commonValueType</t>
  </si>
  <si>
    <t>valueText</t>
  </si>
  <si>
    <t>所得</t>
    <phoneticPr fontId="1"/>
  </si>
  <si>
    <t>資産・引出金</t>
    <phoneticPr fontId="1"/>
  </si>
  <si>
    <t>借金</t>
    <phoneticPr fontId="1"/>
  </si>
  <si>
    <t>食費</t>
  </si>
  <si>
    <t>住居費</t>
  </si>
  <si>
    <t>水道光熱費</t>
  </si>
  <si>
    <t>交通・通信費</t>
  </si>
  <si>
    <t>医療・衛生費</t>
  </si>
  <si>
    <t>交際費</t>
  </si>
  <si>
    <t>車両費</t>
  </si>
  <si>
    <t>社会保険料</t>
  </si>
  <si>
    <t>税金</t>
  </si>
  <si>
    <t>特別費</t>
  </si>
  <si>
    <t>P</t>
    <phoneticPr fontId="1"/>
  </si>
  <si>
    <t>P</t>
    <phoneticPr fontId="1"/>
  </si>
  <si>
    <t>eventId</t>
    <phoneticPr fontId="1"/>
  </si>
  <si>
    <t>keyValue</t>
  </si>
  <si>
    <t>給料日</t>
    <rPh sb="0" eb="3">
      <t>キュウリョウビ</t>
    </rPh>
    <phoneticPr fontId="1"/>
  </si>
  <si>
    <t>amount</t>
    <phoneticPr fontId="1"/>
  </si>
  <si>
    <t>cast('2018-04-20' as date)</t>
    <phoneticPr fontId="1"/>
  </si>
  <si>
    <t>cast('2018-05-20' as date)</t>
    <phoneticPr fontId="1"/>
  </si>
  <si>
    <t>cast('2018-06-20' as date)</t>
    <phoneticPr fontId="1"/>
  </si>
  <si>
    <t>cast('2018-07-20' as date)</t>
    <phoneticPr fontId="1"/>
  </si>
  <si>
    <t>cast('2018-08-20' as date)</t>
    <phoneticPr fontId="1"/>
  </si>
  <si>
    <t>cast('2018-09-20' as date)</t>
    <phoneticPr fontId="1"/>
  </si>
  <si>
    <t>cast('2018-10-20' as date)</t>
    <phoneticPr fontId="1"/>
  </si>
  <si>
    <t>cast('2018-11-20' as date)</t>
    <phoneticPr fontId="1"/>
  </si>
  <si>
    <t>cast('2018-12-20' as date)</t>
    <phoneticPr fontId="1"/>
  </si>
  <si>
    <t>cast('2019-01-20' as date)</t>
    <phoneticPr fontId="1"/>
  </si>
  <si>
    <t>cast('2019-02-20' as date)</t>
    <phoneticPr fontId="1"/>
  </si>
  <si>
    <t>ボーナス</t>
    <phoneticPr fontId="1"/>
  </si>
  <si>
    <t>userId</t>
    <phoneticPr fontId="1"/>
  </si>
  <si>
    <t>userName</t>
    <phoneticPr fontId="1"/>
  </si>
  <si>
    <t>password</t>
    <phoneticPr fontId="1"/>
  </si>
  <si>
    <t>VARCHAR (20)</t>
    <phoneticPr fontId="1"/>
  </si>
  <si>
    <t>sample</t>
    <phoneticPr fontId="1"/>
  </si>
  <si>
    <t>sample1</t>
    <phoneticPr fontId="1"/>
  </si>
  <si>
    <t>user1</t>
    <phoneticPr fontId="1"/>
  </si>
  <si>
    <t>uX3ef#</t>
    <phoneticPr fontId="1"/>
  </si>
  <si>
    <t>vlook</t>
    <phoneticPr fontId="1"/>
  </si>
  <si>
    <t>cast('2018-04-30' as date)</t>
    <phoneticPr fontId="1"/>
  </si>
  <si>
    <t>cast('2018-05-02' as date)</t>
    <phoneticPr fontId="1"/>
  </si>
  <si>
    <t>アベンジャーズ3</t>
    <phoneticPr fontId="1"/>
  </si>
  <si>
    <t>レディプレイヤー1</t>
    <phoneticPr fontId="1"/>
  </si>
  <si>
    <t>通院</t>
    <rPh sb="0" eb="2">
      <t>ツウイン</t>
    </rPh>
    <phoneticPr fontId="1"/>
  </si>
  <si>
    <t>薬価</t>
    <rPh sb="0" eb="2">
      <t>ヤッカ</t>
    </rPh>
    <phoneticPr fontId="1"/>
  </si>
  <si>
    <t>cast('2018-05-30' as date)</t>
    <phoneticPr fontId="1"/>
  </si>
  <si>
    <t>cast('2018-06-30' as date)</t>
    <phoneticPr fontId="1"/>
  </si>
  <si>
    <t>cast('2018-07-30' as date)</t>
    <phoneticPr fontId="1"/>
  </si>
  <si>
    <t>cast('2018-08-30' as date)</t>
    <phoneticPr fontId="1"/>
  </si>
  <si>
    <t>cast('2018-09-30' as date)</t>
    <phoneticPr fontId="1"/>
  </si>
  <si>
    <t>cast('2018-10-30' as date)</t>
    <phoneticPr fontId="1"/>
  </si>
  <si>
    <t>アントマン2</t>
    <phoneticPr fontId="1"/>
  </si>
  <si>
    <t>cast('2018-03-10' as date)</t>
    <phoneticPr fontId="1"/>
  </si>
  <si>
    <t>ブラックパンサー</t>
    <phoneticPr fontId="1"/>
  </si>
  <si>
    <t>家賃</t>
    <rPh sb="0" eb="2">
      <t>ヤチン</t>
    </rPh>
    <phoneticPr fontId="1"/>
  </si>
  <si>
    <t>電気ガス水道</t>
    <rPh sb="0" eb="2">
      <t>デンキ</t>
    </rPh>
    <rPh sb="4" eb="6">
      <t>スイドウ</t>
    </rPh>
    <phoneticPr fontId="1"/>
  </si>
  <si>
    <t>cast('2018-04-15' as date)</t>
    <phoneticPr fontId="1"/>
  </si>
  <si>
    <t>スマホ通信料</t>
    <rPh sb="3" eb="6">
      <t>ツウシンリョウ</t>
    </rPh>
    <phoneticPr fontId="1"/>
  </si>
  <si>
    <t>cast('2018-05-15' as date)</t>
    <phoneticPr fontId="1"/>
  </si>
  <si>
    <t>cast('2018-06-15' as date)</t>
    <phoneticPr fontId="1"/>
  </si>
  <si>
    <t>cast('2018-07-15' as date)</t>
    <phoneticPr fontId="1"/>
  </si>
  <si>
    <t>cast('2018-08-15' as date)</t>
    <phoneticPr fontId="1"/>
  </si>
  <si>
    <t>cast('2018-09-15' as date)</t>
    <phoneticPr fontId="1"/>
  </si>
  <si>
    <t>cast('2018-10-15' as date)</t>
    <phoneticPr fontId="1"/>
  </si>
  <si>
    <t>cast('2018-11-15' as date)</t>
    <phoneticPr fontId="1"/>
  </si>
  <si>
    <t>cast('2018-12-15' as date)</t>
    <phoneticPr fontId="1"/>
  </si>
  <si>
    <t>資格受験費</t>
    <rPh sb="0" eb="2">
      <t>シカク</t>
    </rPh>
    <rPh sb="2" eb="4">
      <t>ジュケン</t>
    </rPh>
    <rPh sb="4" eb="5">
      <t>ヒ</t>
    </rPh>
    <phoneticPr fontId="1"/>
  </si>
  <si>
    <t>cast('2018-08-01' as date)</t>
    <phoneticPr fontId="1"/>
  </si>
  <si>
    <t>cast('2018-06-01' as date)</t>
    <phoneticPr fontId="1"/>
  </si>
  <si>
    <t>参考書代</t>
    <rPh sb="0" eb="2">
      <t>サンコウ</t>
    </rPh>
    <rPh sb="2" eb="3">
      <t>ショ</t>
    </rPh>
    <rPh sb="3" eb="4">
      <t>ダイ</t>
    </rPh>
    <phoneticPr fontId="1"/>
  </si>
  <si>
    <t>過去問購入</t>
    <rPh sb="0" eb="3">
      <t>カコモン</t>
    </rPh>
    <rPh sb="3" eb="5">
      <t>コウニュウ</t>
    </rPh>
    <phoneticPr fontId="1"/>
  </si>
  <si>
    <t>娯楽費</t>
    <phoneticPr fontId="1"/>
  </si>
  <si>
    <t>教養・教育費</t>
    <phoneticPr fontId="1"/>
  </si>
  <si>
    <t>cast('2018-08-05' as date)</t>
    <phoneticPr fontId="1"/>
  </si>
  <si>
    <t>漫画代</t>
    <rPh sb="0" eb="2">
      <t>マンガ</t>
    </rPh>
    <rPh sb="2" eb="3">
      <t>ダイ</t>
    </rPh>
    <phoneticPr fontId="1"/>
  </si>
  <si>
    <t>cast('2018-08-04' as date)</t>
    <phoneticPr fontId="1"/>
  </si>
  <si>
    <t>cast('2018-08-03' as date)</t>
    <phoneticPr fontId="1"/>
  </si>
  <si>
    <t>cast('2018-08-02' as date)</t>
    <phoneticPr fontId="1"/>
  </si>
  <si>
    <t>cast('2018-07-31' as date)</t>
    <phoneticPr fontId="1"/>
  </si>
  <si>
    <t>cast('2018-07-29' as date)</t>
    <phoneticPr fontId="1"/>
  </si>
  <si>
    <t>cast('2018-07-21' as date)</t>
    <phoneticPr fontId="1"/>
  </si>
  <si>
    <t>cast('2018-07-19' as date)</t>
    <phoneticPr fontId="1"/>
  </si>
  <si>
    <t>cast('2018-07-18' as date)</t>
    <phoneticPr fontId="1"/>
  </si>
  <si>
    <t>cast('2018-07-16' as date)</t>
    <phoneticPr fontId="1"/>
  </si>
  <si>
    <t>cast('2018-07-13' as date)</t>
    <phoneticPr fontId="1"/>
  </si>
  <si>
    <t>cast('2018-07-12' as date)</t>
    <phoneticPr fontId="1"/>
  </si>
  <si>
    <t>cast('2018-07-10' as date)</t>
    <phoneticPr fontId="1"/>
  </si>
  <si>
    <t>cast('2018-07-08' as date)</t>
    <phoneticPr fontId="1"/>
  </si>
  <si>
    <t>cast('2018-07-07' as date)</t>
    <phoneticPr fontId="1"/>
  </si>
  <si>
    <t>cast('2018-07-04' as date)</t>
    <phoneticPr fontId="1"/>
  </si>
  <si>
    <t>cast('2018-07-02' as date)</t>
    <phoneticPr fontId="1"/>
  </si>
  <si>
    <t>映画代</t>
    <rPh sb="0" eb="2">
      <t>エイガ</t>
    </rPh>
    <rPh sb="2" eb="3">
      <t>ダイ</t>
    </rPh>
    <phoneticPr fontId="1"/>
  </si>
  <si>
    <t>cast('2018-04-28' as date)</t>
    <phoneticPr fontId="1"/>
  </si>
  <si>
    <t>cast('2018-05-12' as date)</t>
    <phoneticPr fontId="1"/>
  </si>
  <si>
    <t>ハンソロ</t>
    <phoneticPr fontId="1"/>
  </si>
  <si>
    <t>ssIsDelete</t>
  </si>
  <si>
    <t>収入</t>
    <rPh sb="0" eb="2">
      <t>シュウニュウ</t>
    </rPh>
    <phoneticPr fontId="1"/>
  </si>
  <si>
    <t>支出</t>
    <rPh sb="0" eb="2">
      <t>シシュツ</t>
    </rPh>
    <phoneticPr fontId="1"/>
  </si>
  <si>
    <t>物理名</t>
    <rPh sb="0" eb="2">
      <t>ブツリ</t>
    </rPh>
    <rPh sb="2" eb="3">
      <t>メイ</t>
    </rPh>
    <phoneticPr fontId="1"/>
  </si>
  <si>
    <t>和名</t>
    <rPh sb="0" eb="2">
      <t>ワメイ</t>
    </rPh>
    <phoneticPr fontId="1"/>
  </si>
  <si>
    <t>＃</t>
    <phoneticPr fontId="1"/>
  </si>
  <si>
    <t>T_SMP_Event</t>
    <phoneticPr fontId="1"/>
  </si>
  <si>
    <t>M_SMP_CommonValues</t>
    <phoneticPr fontId="1"/>
  </si>
  <si>
    <t>M_SMP_User</t>
    <phoneticPr fontId="1"/>
  </si>
  <si>
    <t>イベント情報テーブル</t>
    <rPh sb="4" eb="6">
      <t>ジョウホウ</t>
    </rPh>
    <phoneticPr fontId="1"/>
  </si>
  <si>
    <t>ユーザーマスタ</t>
    <phoneticPr fontId="1"/>
  </si>
  <si>
    <t>汎用値マスタ</t>
    <rPh sb="0" eb="2">
      <t>ハンヨウ</t>
    </rPh>
    <rPh sb="2" eb="3">
      <t>チ</t>
    </rPh>
    <phoneticPr fontId="1"/>
  </si>
  <si>
    <t>Ins</t>
    <phoneticPr fontId="1"/>
  </si>
  <si>
    <t>Upd</t>
    <phoneticPr fontId="1"/>
  </si>
  <si>
    <t>Del</t>
    <phoneticPr fontId="1"/>
  </si>
  <si>
    <t>Desc</t>
    <phoneticPr fontId="1"/>
  </si>
  <si>
    <t>Fno</t>
    <phoneticPr fontId="1"/>
  </si>
  <si>
    <t>Fno</t>
    <phoneticPr fontId="1"/>
  </si>
  <si>
    <t>First01</t>
  </si>
  <si>
    <t>First01</t>
    <phoneticPr fontId="1"/>
  </si>
  <si>
    <t>〇</t>
    <phoneticPr fontId="1"/>
  </si>
  <si>
    <t>初期データ投入</t>
    <rPh sb="0" eb="2">
      <t>ショキ</t>
    </rPh>
    <rPh sb="5" eb="7">
      <t>トウニュウ</t>
    </rPh>
    <phoneticPr fontId="1"/>
  </si>
  <si>
    <t>クエリ</t>
    <phoneticPr fontId="1"/>
  </si>
  <si>
    <t>category</t>
    <phoneticPr fontId="1"/>
  </si>
  <si>
    <t>keyValue</t>
    <phoneticPr fontId="1"/>
  </si>
  <si>
    <t>begin;</t>
  </si>
  <si>
    <t>rollback;</t>
  </si>
  <si>
    <t>INSERT INTO M_SMP_CommonValues ( commonValueType , keyValue , valueText , ssCreateDate , ssCreatePrg , ssUpdateDate , ssUpdatePrg , ssVersion , ssIsDelete) VALUES (  301  ,  101  ,  '所得'  ,  now()  ,  'Init'  ,  now()  ,  'Init'  ,  1  ,  0  );</t>
  </si>
  <si>
    <t>UPDATE M_SMP_CommonValues SET commonValueType = 301  , keyValue = 101  , valueText = '所得'  , ssCreateDate = now()  , ssCreatePrg = 'Init'  , ssUpdateDate = now()  , ssUpdatePrg = 'Init'  , ssVersion = 1  , ssIsDelete = 0  WHERE commonValueType = '301'  AND keyValue = '101' ;</t>
  </si>
  <si>
    <t>DELETE FROM M_SMP_CommonValues WHERE commonValueType = '301'  AND keyValue = '101' ;</t>
  </si>
  <si>
    <t>INSERT INTO M_SMP_CommonValues ( commonValueType , keyValue , valueText , ssCreateDate , ssCreatePrg , ssUpdateDate , ssUpdatePrg , ssVersion , ssIsDelete) VALUES (  301  ,  102  ,  '資産・引出金'  ,  now()  ,  'Init'  ,  now()  ,  'Init'  ,  1  ,  0  );</t>
  </si>
  <si>
    <t>UPDATE M_SMP_CommonValues SET commonValueType = 301  , keyValue = 102  , valueText = '資産・引出金'  , ssCreateDate = now()  , ssCreatePrg = 'Init'  , ssUpdateDate = now()  , ssUpdatePrg = 'Init'  , ssVersion = 1  , ssIsDelete = 0  WHERE commonValueType = '301'  AND keyValue = '102' ;</t>
  </si>
  <si>
    <t>DELETE FROM M_SMP_CommonValues WHERE commonValueType = '301'  AND keyValue = '102' ;</t>
  </si>
  <si>
    <t>INSERT INTO M_SMP_CommonValues ( commonValueType , keyValue , valueText , ssCreateDate , ssCreatePrg , ssUpdateDate , ssUpdatePrg , ssVersion , ssIsDelete) VALUES (  301  ,  103  ,  '借金'  ,  now()  ,  'Init'  ,  now()  ,  'Init'  ,  1  ,  0  );</t>
  </si>
  <si>
    <t>UPDATE M_SMP_CommonValues SET commonValueType = 301  , keyValue = 103  , valueText = '借金'  , ssCreateDate = now()  , ssCreatePrg = 'Init'  , ssUpdateDate = now()  , ssUpdatePrg = 'Init'  , ssVersion = 1  , ssIsDelete = 0  WHERE commonValueType = '301'  AND keyValue = '103' ;</t>
  </si>
  <si>
    <t>DELETE FROM M_SMP_CommonValues WHERE commonValueType = '301'  AND keyValue = '103' ;</t>
  </si>
  <si>
    <t>INSERT INTO M_SMP_CommonValues ( commonValueType , keyValue , valueText , ssCreateDate , ssCreatePrg , ssUpdateDate , ssUpdatePrg , ssVersion , ssIsDelete) VALUES (  302  ,  201  ,  '食費'  ,  now()  ,  'Init'  ,  now()  ,  'Init'  ,  1  ,  0  );</t>
  </si>
  <si>
    <t>UPDATE M_SMP_CommonValues SET commonValueType = 302  , keyValue = 201  , valueText = '食費'  , ssCreateDate = now()  , ssCreatePrg = 'Init'  , ssUpdateDate = now()  , ssUpdatePrg = 'Init'  , ssVersion = 1  , ssIsDelete = 0  WHERE commonValueType = '302'  AND keyValue = '201' ;</t>
  </si>
  <si>
    <t>DELETE FROM M_SMP_CommonValues WHERE commonValueType = '302'  AND keyValue = '201' ;</t>
  </si>
  <si>
    <t>INSERT INTO M_SMP_CommonValues ( commonValueType , keyValue , valueText , ssCreateDate , ssCreatePrg , ssUpdateDate , ssUpdatePrg , ssVersion , ssIsDelete) VALUES (  302  ,  202  ,  '住居費'  ,  now()  ,  'Init'  ,  now()  ,  'Init'  ,  1  ,  0  );</t>
  </si>
  <si>
    <t>UPDATE M_SMP_CommonValues SET commonValueType = 302  , keyValue = 202  , valueText = '住居費'  , ssCreateDate = now()  , ssCreatePrg = 'Init'  , ssUpdateDate = now()  , ssUpdatePrg = 'Init'  , ssVersion = 1  , ssIsDelete = 0  WHERE commonValueType = '302'  AND keyValue = '202' ;</t>
  </si>
  <si>
    <t>DELETE FROM M_SMP_CommonValues WHERE commonValueType = '302'  AND keyValue = '202' ;</t>
  </si>
  <si>
    <t>INSERT INTO M_SMP_CommonValues ( commonValueType , keyValue , valueText , ssCreateDate , ssCreatePrg , ssUpdateDate , ssUpdatePrg , ssVersion , ssIsDelete) VALUES (  302  ,  203  ,  '水道光熱費'  ,  now()  ,  'Init'  ,  now()  ,  'Init'  ,  1  ,  0  );</t>
  </si>
  <si>
    <t>UPDATE M_SMP_CommonValues SET commonValueType = 302  , keyValue = 203  , valueText = '水道光熱費'  , ssCreateDate = now()  , ssCreatePrg = 'Init'  , ssUpdateDate = now()  , ssUpdatePrg = 'Init'  , ssVersion = 1  , ssIsDelete = 0  WHERE commonValueType = '302'  AND keyValue = '203' ;</t>
  </si>
  <si>
    <t>DELETE FROM M_SMP_CommonValues WHERE commonValueType = '302'  AND keyValue = '203' ;</t>
  </si>
  <si>
    <t>INSERT INTO M_SMP_CommonValues ( commonValueType , keyValue , valueText , ssCreateDate , ssCreatePrg , ssUpdateDate , ssUpdatePrg , ssVersion , ssIsDelete) VALUES (  302  ,  204  ,  '教養・教育費'  ,  now()  ,  'Init'  ,  now()  ,  'Init'  ,  1  ,  0  );</t>
  </si>
  <si>
    <t>UPDATE M_SMP_CommonValues SET commonValueType = 302  , keyValue = 204  , valueText = '教養・教育費'  , ssCreateDate = now()  , ssCreatePrg = 'Init'  , ssUpdateDate = now()  , ssUpdatePrg = 'Init'  , ssVersion = 1  , ssIsDelete = 0  WHERE commonValueType = '302'  AND keyValue = '204' ;</t>
  </si>
  <si>
    <t>DELETE FROM M_SMP_CommonValues WHERE commonValueType = '302'  AND keyValue = '204' ;</t>
  </si>
  <si>
    <t>INSERT INTO M_SMP_CommonValues ( commonValueType , keyValue , valueText , ssCreateDate , ssCreatePrg , ssUpdateDate , ssUpdatePrg , ssVersion , ssIsDelete) VALUES (  302  ,  205  ,  '娯楽費'  ,  now()  ,  'Init'  ,  now()  ,  'Init'  ,  1  ,  0  );</t>
  </si>
  <si>
    <t>UPDATE M_SMP_CommonValues SET commonValueType = 302  , keyValue = 205  , valueText = '娯楽費'  , ssCreateDate = now()  , ssCreatePrg = 'Init'  , ssUpdateDate = now()  , ssUpdatePrg = 'Init'  , ssVersion = 1  , ssIsDelete = 0  WHERE commonValueType = '302'  AND keyValue = '205' ;</t>
  </si>
  <si>
    <t>DELETE FROM M_SMP_CommonValues WHERE commonValueType = '302'  AND keyValue = '205' ;</t>
  </si>
  <si>
    <t>INSERT INTO M_SMP_CommonValues ( commonValueType , keyValue , valueText , ssCreateDate , ssCreatePrg , ssUpdateDate , ssUpdatePrg , ssVersion , ssIsDelete) VALUES (  302  ,  206  ,  '交通・通信費'  ,  now()  ,  'Init'  ,  now()  ,  'Init'  ,  1  ,  0  );</t>
  </si>
  <si>
    <t>UPDATE M_SMP_CommonValues SET commonValueType = 302  , keyValue = 206  , valueText = '交通・通信費'  , ssCreateDate = now()  , ssCreatePrg = 'Init'  , ssUpdateDate = now()  , ssUpdatePrg = 'Init'  , ssVersion = 1  , ssIsDelete = 0  WHERE commonValueType = '302'  AND keyValue = '206' ;</t>
  </si>
  <si>
    <t>DELETE FROM M_SMP_CommonValues WHERE commonValueType = '302'  AND keyValue = '206' ;</t>
  </si>
  <si>
    <t>INSERT INTO M_SMP_CommonValues ( commonValueType , keyValue , valueText , ssCreateDate , ssCreatePrg , ssUpdateDate , ssUpdatePrg , ssVersion , ssIsDelete) VALUES (  302  ,  207  ,  '医療・衛生費'  ,  now()  ,  'Init'  ,  now()  ,  'Init'  ,  1  ,  0  );</t>
  </si>
  <si>
    <t>UPDATE M_SMP_CommonValues SET commonValueType = 302  , keyValue = 207  , valueText = '医療・衛生費'  , ssCreateDate = now()  , ssCreatePrg = 'Init'  , ssUpdateDate = now()  , ssUpdatePrg = 'Init'  , ssVersion = 1  , ssIsDelete = 0  WHERE commonValueType = '302'  AND keyValue = '207' ;</t>
  </si>
  <si>
    <t>DELETE FROM M_SMP_CommonValues WHERE commonValueType = '302'  AND keyValue = '207' ;</t>
  </si>
  <si>
    <t>INSERT INTO M_SMP_CommonValues ( commonValueType , keyValue , valueText , ssCreateDate , ssCreatePrg , ssUpdateDate , ssUpdatePrg , ssVersion , ssIsDelete) VALUES (  302  ,  208  ,  '交際費'  ,  now()  ,  'Init'  ,  now()  ,  'Init'  ,  1  ,  0  );</t>
  </si>
  <si>
    <t>UPDATE M_SMP_CommonValues SET commonValueType = 302  , keyValue = 208  , valueText = '交際費'  , ssCreateDate = now()  , ssCreatePrg = 'Init'  , ssUpdateDate = now()  , ssUpdatePrg = 'Init'  , ssVersion = 1  , ssIsDelete = 0  WHERE commonValueType = '302'  AND keyValue = '208' ;</t>
  </si>
  <si>
    <t>DELETE FROM M_SMP_CommonValues WHERE commonValueType = '302'  AND keyValue = '208' ;</t>
  </si>
  <si>
    <t>INSERT INTO M_SMP_CommonValues ( commonValueType , keyValue , valueText , ssCreateDate , ssCreatePrg , ssUpdateDate , ssUpdatePrg , ssVersion , ssIsDelete) VALUES (  302  ,  209  ,  '車両費'  ,  now()  ,  'Init'  ,  now()  ,  'Init'  ,  1  ,  0  );</t>
  </si>
  <si>
    <t>UPDATE M_SMP_CommonValues SET commonValueType = 302  , keyValue = 209  , valueText = '車両費'  , ssCreateDate = now()  , ssCreatePrg = 'Init'  , ssUpdateDate = now()  , ssUpdatePrg = 'Init'  , ssVersion = 1  , ssIsDelete = 0  WHERE commonValueType = '302'  AND keyValue = '209' ;</t>
  </si>
  <si>
    <t>DELETE FROM M_SMP_CommonValues WHERE commonValueType = '302'  AND keyValue = '209' ;</t>
  </si>
  <si>
    <t>INSERT INTO M_SMP_CommonValues ( commonValueType , keyValue , valueText , ssCreateDate , ssCreatePrg , ssUpdateDate , ssUpdatePrg , ssVersion , ssIsDelete) VALUES (  302  ,  210  ,  '社会保険料'  ,  now()  ,  'Init'  ,  now()  ,  'Init'  ,  1  ,  0  );</t>
  </si>
  <si>
    <t>UPDATE M_SMP_CommonValues SET commonValueType = 302  , keyValue = 210  , valueText = '社会保険料'  , ssCreateDate = now()  , ssCreatePrg = 'Init'  , ssUpdateDate = now()  , ssUpdatePrg = 'Init'  , ssVersion = 1  , ssIsDelete = 0  WHERE commonValueType = '302'  AND keyValue = '210' ;</t>
  </si>
  <si>
    <t>DELETE FROM M_SMP_CommonValues WHERE commonValueType = '302'  AND keyValue = '210' ;</t>
  </si>
  <si>
    <t>INSERT INTO M_SMP_CommonValues ( commonValueType , keyValue , valueText , ssCreateDate , ssCreatePrg , ssUpdateDate , ssUpdatePrg , ssVersion , ssIsDelete) VALUES (  302  ,  211  ,  '税金'  ,  now()  ,  'Init'  ,  now()  ,  'Init'  ,  1  ,  0  );</t>
  </si>
  <si>
    <t>UPDATE M_SMP_CommonValues SET commonValueType = 302  , keyValue = 211  , valueText = '税金'  , ssCreateDate = now()  , ssCreatePrg = 'Init'  , ssUpdateDate = now()  , ssUpdatePrg = 'Init'  , ssVersion = 1  , ssIsDelete = 0  WHERE commonValueType = '302'  AND keyValue = '211' ;</t>
  </si>
  <si>
    <t>DELETE FROM M_SMP_CommonValues WHERE commonValueType = '302'  AND keyValue = '211' ;</t>
  </si>
  <si>
    <t>INSERT INTO M_SMP_CommonValues ( commonValueType , keyValue , valueText , ssCreateDate , ssCreatePrg , ssUpdateDate , ssUpdatePrg , ssVersion , ssIsDelete) VALUES (  302  ,  212  ,  '特別費'  ,  now()  ,  'Init'  ,  now()  ,  'Init'  ,  1  ,  0  );</t>
  </si>
  <si>
    <t>UPDATE M_SMP_CommonValues SET commonValueType = 302  , keyValue = 212  , valueText = '特別費'  , ssCreateDate = now()  , ssCreatePrg = 'Init'  , ssUpdateDate = now()  , ssUpdatePrg = 'Init'  , ssVersion = 1  , ssIsDelete = 0  WHERE commonValueType = '302'  AND keyValue = '212' ;</t>
  </si>
  <si>
    <t>DELETE FROM M_SMP_CommonValues WHERE commonValueType = '302'  AND keyValue = '212' ;</t>
  </si>
  <si>
    <t>INSERT INTO M_SMP_CommonValues ( commonValueType , keyValue , valueText , ssCreateDate , ssCreatePrg , ssUpdateDate , ssUpdatePrg , ssVersion , ssIsDelete) VALUES (  1  ,  301  ,  '収入'  ,  now()  ,  'Init'  ,  now()  ,  'Init'  ,  1  ,  0  );</t>
  </si>
  <si>
    <t>UPDATE M_SMP_CommonValues SET commonValueType = 1  , keyValue = 301  , valueText = '収入'  , ssCreateDate = now()  , ssCreatePrg = 'Init'  , ssUpdateDate = now()  , ssUpdatePrg = 'Init'  , ssVersion = 1  , ssIsDelete = 0  WHERE commonValueType = '1'  AND keyValue = '301' ;</t>
  </si>
  <si>
    <t>DELETE FROM M_SMP_CommonValues WHERE commonValueType = '1'  AND keyValue = '301' ;</t>
  </si>
  <si>
    <t>INSERT INTO M_SMP_CommonValues ( commonValueType , keyValue , valueText , ssCreateDate , ssCreatePrg , ssUpdateDate , ssUpdatePrg , ssVersion , ssIsDelete) VALUES (  1  ,  302  ,  '支出'  ,  now()  ,  'Init'  ,  now()  ,  'Init'  ,  1  ,  0  );</t>
  </si>
  <si>
    <t>UPDATE M_SMP_CommonValues SET commonValueType = 1  , keyValue = 302  , valueText = '支出'  , ssCreateDate = now()  , ssCreatePrg = 'Init'  , ssUpdateDate = now()  , ssUpdatePrg = 'Init'  , ssVersion = 1  , ssIsDelete = 0  WHERE commonValueType = '1'  AND keyValue = '302' ;</t>
  </si>
  <si>
    <t>DELETE FROM M_SMP_CommonValues WHERE commonValueType = '1'  AND keyValue = '302' ;</t>
  </si>
  <si>
    <t>ssIsDelete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</si>
</sst>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9"/>
      <color theme="0"/>
      <name val="游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3" fillId="4" borderId="0" xfId="0" applyFont="1" applyFill="1">
      <alignment vertical="center"/>
    </xf>
    <xf numFmtId="0" fontId="2" fillId="5" borderId="0" xfId="0" applyFont="1" applyFill="1">
      <alignment vertical="center"/>
    </xf>
    <xf numFmtId="176" fontId="0" fillId="0" borderId="0" xfId="0" applyNumberFormat="1">
      <alignment vertical="center"/>
    </xf>
    <xf numFmtId="0" fontId="3" fillId="4" borderId="1" xfId="0" applyFont="1" applyFill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A38D1-A141-4890-B196-3D9F67527BFE}">
  <sheetPr codeName="Sheet5"/>
  <dimension ref="A1:C4"/>
  <sheetViews>
    <sheetView workbookViewId="0">
      <selection activeCell="B1" sqref="B1"/>
    </sheetView>
  </sheetViews>
  <sheetFormatPr defaultRowHeight="17.649999999999999" x14ac:dyDescent="0.7"/>
  <cols>
    <col min="1" max="1" width="2.5" bestFit="1" customWidth="1"/>
    <col min="2" max="2" width="19.625" bestFit="1" customWidth="1"/>
    <col min="3" max="3" width="22.375" bestFit="1" customWidth="1"/>
  </cols>
  <sheetData>
    <row r="1" spans="1:3" x14ac:dyDescent="0.7">
      <c r="A1" s="6" t="s">
        <v>127</v>
      </c>
      <c r="B1" s="6" t="s">
        <v>126</v>
      </c>
      <c r="C1" s="6" t="s">
        <v>125</v>
      </c>
    </row>
    <row r="2" spans="1:3" x14ac:dyDescent="0.7">
      <c r="A2" s="7">
        <v>1</v>
      </c>
      <c r="B2" s="7" t="s">
        <v>131</v>
      </c>
      <c r="C2" s="7" t="s">
        <v>128</v>
      </c>
    </row>
    <row r="3" spans="1:3" x14ac:dyDescent="0.7">
      <c r="A3" s="7">
        <v>2</v>
      </c>
      <c r="B3" s="7" t="s">
        <v>133</v>
      </c>
      <c r="C3" s="7" t="s">
        <v>129</v>
      </c>
    </row>
    <row r="4" spans="1:3" x14ac:dyDescent="0.7">
      <c r="A4" s="7">
        <v>3</v>
      </c>
      <c r="B4" s="7" t="s">
        <v>132</v>
      </c>
      <c r="C4" s="7" t="s">
        <v>130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2BE3E-9E06-4E4E-A291-D7485A82998D}">
  <sheetPr codeName="Sheet1"/>
  <dimension ref="A1:B3"/>
  <sheetViews>
    <sheetView workbookViewId="0">
      <selection activeCell="C2" sqref="C2"/>
    </sheetView>
  </sheetViews>
  <sheetFormatPr defaultRowHeight="17.649999999999999" x14ac:dyDescent="0.7"/>
  <cols>
    <col min="1" max="1" width="12" bestFit="1" customWidth="1"/>
  </cols>
  <sheetData>
    <row r="1" spans="1:2" x14ac:dyDescent="0.7">
      <c r="A1" t="s">
        <v>0</v>
      </c>
      <c r="B1" s="2"/>
    </row>
    <row r="2" spans="1:2" x14ac:dyDescent="0.7">
      <c r="A2" t="s">
        <v>1</v>
      </c>
      <c r="B2" s="1"/>
    </row>
    <row r="3" spans="1:2" x14ac:dyDescent="0.7">
      <c r="A3" t="s">
        <v>2</v>
      </c>
      <c r="B3">
        <v>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16CDE-1979-4E26-8E20-E6F590762402}">
  <sheetPr codeName="Sheet6"/>
  <dimension ref="A1:E2"/>
  <sheetViews>
    <sheetView workbookViewId="0">
      <selection activeCell="B3" sqref="B3"/>
    </sheetView>
  </sheetViews>
  <sheetFormatPr defaultRowHeight="17.649999999999999" x14ac:dyDescent="0.7"/>
  <cols>
    <col min="2" max="2" width="13.9375" bestFit="1" customWidth="1"/>
  </cols>
  <sheetData>
    <row r="1" spans="1:5" x14ac:dyDescent="0.7">
      <c r="A1" s="6" t="s">
        <v>138</v>
      </c>
      <c r="B1" s="6" t="s">
        <v>137</v>
      </c>
      <c r="C1" s="6" t="s">
        <v>134</v>
      </c>
      <c r="D1" s="6" t="s">
        <v>135</v>
      </c>
      <c r="E1" s="6" t="s">
        <v>136</v>
      </c>
    </row>
    <row r="2" spans="1:5" x14ac:dyDescent="0.7">
      <c r="A2" s="7" t="s">
        <v>141</v>
      </c>
      <c r="B2" s="7" t="s">
        <v>143</v>
      </c>
      <c r="C2" s="8" t="s">
        <v>142</v>
      </c>
      <c r="D2" s="8"/>
      <c r="E2" s="8" t="s">
        <v>142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34596-74DE-4590-A975-88A27BA120C8}">
  <sheetPr codeName="Sheet12"/>
  <dimension ref="A1:B1"/>
  <sheetViews>
    <sheetView workbookViewId="0">
      <selection activeCell="B1" sqref="A1:B1"/>
    </sheetView>
  </sheetViews>
  <sheetFormatPr defaultRowHeight="17.649999999999999" x14ac:dyDescent="0.7"/>
  <sheetData>
    <row r="1" spans="1:2" x14ac:dyDescent="0.7">
      <c r="A1" s="6" t="s">
        <v>138</v>
      </c>
      <c r="B1" s="6" t="s">
        <v>144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78C54-04F1-4988-80D3-08A9F8233B13}">
  <sheetPr codeName="Sheet13"/>
  <dimension ref="A1:B1"/>
  <sheetViews>
    <sheetView workbookViewId="0">
      <selection sqref="A1:B1"/>
    </sheetView>
  </sheetViews>
  <sheetFormatPr defaultRowHeight="17.649999999999999" x14ac:dyDescent="0.7"/>
  <sheetData>
    <row r="1" spans="1:2" x14ac:dyDescent="0.7">
      <c r="A1" s="6" t="s">
        <v>138</v>
      </c>
      <c r="B1" s="6" t="s">
        <v>144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833E7-6715-4EB2-BDBB-3E216F427F44}">
  <sheetPr codeName="Sheet2"/>
  <dimension ref="A1:T109"/>
  <sheetViews>
    <sheetView tabSelected="1" workbookViewId="0">
      <pane ySplit="4" topLeftCell="A5" activePane="bottomLeft" state="frozen"/>
      <selection pane="bottomLeft" activeCell="K3" sqref="K3"/>
    </sheetView>
  </sheetViews>
  <sheetFormatPr defaultRowHeight="17.649999999999999" x14ac:dyDescent="0.7"/>
  <cols>
    <col min="1" max="1" width="10.0625" bestFit="1" customWidth="1"/>
    <col min="5" max="6" width="10.5625" bestFit="1" customWidth="1"/>
    <col min="7" max="8" width="10.5625" customWidth="1"/>
    <col min="9" max="9" width="16.875" bestFit="1" customWidth="1"/>
    <col min="10" max="10" width="13.125" bestFit="1" customWidth="1"/>
    <col min="11" max="11" width="18.875" customWidth="1"/>
    <col min="12" max="15" width="13.125" bestFit="1" customWidth="1"/>
    <col min="16" max="16" width="7.6875" bestFit="1" customWidth="1"/>
    <col min="17" max="20" width="9" style="5"/>
  </cols>
  <sheetData>
    <row r="1" spans="1:17" x14ac:dyDescent="0.7">
      <c r="B1" s="3" t="s">
        <v>41</v>
      </c>
      <c r="C1" s="3" t="s">
        <v>139</v>
      </c>
      <c r="D1" s="3" t="s">
        <v>4</v>
      </c>
      <c r="E1" s="3" t="s">
        <v>5</v>
      </c>
      <c r="F1" s="3" t="s">
        <v>7</v>
      </c>
      <c r="G1" s="3" t="s">
        <v>65</v>
      </c>
      <c r="H1" s="3" t="s">
        <v>44</v>
      </c>
      <c r="I1" s="3" t="s">
        <v>8</v>
      </c>
      <c r="J1" s="3" t="s">
        <v>9</v>
      </c>
      <c r="K1" s="3" t="s">
        <v>22</v>
      </c>
      <c r="L1" s="3" t="s">
        <v>12</v>
      </c>
      <c r="M1" s="3" t="s">
        <v>13</v>
      </c>
      <c r="N1" s="3" t="s">
        <v>16</v>
      </c>
      <c r="O1" s="3" t="s">
        <v>17</v>
      </c>
      <c r="P1" s="3" t="s">
        <v>18</v>
      </c>
      <c r="Q1" s="3" t="s">
        <v>122</v>
      </c>
    </row>
    <row r="2" spans="1:17" x14ac:dyDescent="0.7">
      <c r="B2" s="3" t="s">
        <v>40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3" spans="1:17" x14ac:dyDescent="0.7">
      <c r="B3" s="3" t="s">
        <v>3</v>
      </c>
      <c r="C3" s="3"/>
      <c r="D3" s="3" t="s">
        <v>3</v>
      </c>
      <c r="E3" s="3" t="s">
        <v>3</v>
      </c>
      <c r="F3" s="3" t="s">
        <v>3</v>
      </c>
      <c r="G3" s="3"/>
      <c r="H3" s="3" t="s">
        <v>3</v>
      </c>
      <c r="I3" s="3" t="s">
        <v>10</v>
      </c>
      <c r="J3" s="3" t="s">
        <v>11</v>
      </c>
      <c r="K3" s="3" t="s">
        <v>15</v>
      </c>
      <c r="L3" s="3" t="s">
        <v>15</v>
      </c>
      <c r="M3" s="3" t="s">
        <v>14</v>
      </c>
      <c r="N3" s="3" t="s">
        <v>15</v>
      </c>
      <c r="O3" s="3" t="s">
        <v>14</v>
      </c>
      <c r="P3" s="3" t="s">
        <v>3</v>
      </c>
      <c r="Q3" s="3" t="s">
        <v>3</v>
      </c>
    </row>
    <row r="4" spans="1:17" x14ac:dyDescent="0.7">
      <c r="A4" s="4" t="s">
        <v>19</v>
      </c>
      <c r="B4" s="3"/>
      <c r="C4" s="3"/>
      <c r="D4" s="3" t="s">
        <v>4</v>
      </c>
      <c r="E4" s="3" t="s">
        <v>5</v>
      </c>
      <c r="F4" s="3" t="s">
        <v>145</v>
      </c>
      <c r="G4" s="3"/>
      <c r="H4" s="3" t="s">
        <v>44</v>
      </c>
      <c r="I4" s="3" t="s">
        <v>8</v>
      </c>
      <c r="J4" s="3" t="s">
        <v>9</v>
      </c>
      <c r="K4" s="3" t="s">
        <v>22</v>
      </c>
      <c r="L4" s="3" t="s">
        <v>12</v>
      </c>
      <c r="M4" s="3" t="s">
        <v>13</v>
      </c>
      <c r="N4" s="3" t="s">
        <v>16</v>
      </c>
      <c r="O4" s="3" t="s">
        <v>17</v>
      </c>
      <c r="P4" s="3" t="s">
        <v>18</v>
      </c>
      <c r="Q4" s="3" t="s">
        <v>200</v>
      </c>
    </row>
    <row r="5" spans="1:17" x14ac:dyDescent="0.7">
      <c r="A5" t="s">
        <v>20</v>
      </c>
      <c r="C5" t="s">
        <v>140</v>
      </c>
      <c r="D5" s="1">
        <v>1</v>
      </c>
      <c r="E5" s="1">
        <v>301</v>
      </c>
      <c r="F5" s="1">
        <v>101</v>
      </c>
      <c r="G5" t="str">
        <f>VLOOKUP(F5,M_SMP_CommonValues!D:E,2,FALSE)</f>
        <v>所得</v>
      </c>
      <c r="H5" s="1">
        <v>200000</v>
      </c>
      <c r="I5" t="s">
        <v>43</v>
      </c>
      <c r="K5" s="1" t="s">
        <v>45</v>
      </c>
      <c r="L5" s="1" t="s">
        <v>21</v>
      </c>
      <c r="M5" t="s">
        <v>23</v>
      </c>
      <c r="N5" s="1" t="s">
        <v>21</v>
      </c>
      <c r="O5" t="s">
        <v>23</v>
      </c>
      <c r="P5" s="1">
        <v>1</v>
      </c>
      <c r="Q5" s="1">
        <v>0</v>
      </c>
    </row>
    <row r="6" spans="1:17" x14ac:dyDescent="0.7">
      <c r="A6" t="s">
        <v>20</v>
      </c>
      <c r="C6" t="s">
        <v>140</v>
      </c>
      <c r="D6" s="1">
        <v>1</v>
      </c>
      <c r="E6" s="1">
        <v>301</v>
      </c>
      <c r="F6" s="1">
        <v>101</v>
      </c>
      <c r="G6" t="str">
        <f>VLOOKUP(F6,M_SMP_CommonValues!D:E,2,FALSE)</f>
        <v>所得</v>
      </c>
      <c r="H6" s="1">
        <v>200000</v>
      </c>
      <c r="I6" t="s">
        <v>43</v>
      </c>
      <c r="K6" s="1" t="s">
        <v>46</v>
      </c>
      <c r="L6" s="1" t="s">
        <v>21</v>
      </c>
      <c r="M6" t="s">
        <v>23</v>
      </c>
      <c r="N6" s="1" t="s">
        <v>21</v>
      </c>
      <c r="O6" t="s">
        <v>23</v>
      </c>
      <c r="P6" s="1">
        <v>1</v>
      </c>
      <c r="Q6" s="1">
        <v>0</v>
      </c>
    </row>
    <row r="7" spans="1:17" x14ac:dyDescent="0.7">
      <c r="A7" t="s">
        <v>20</v>
      </c>
      <c r="C7" t="s">
        <v>140</v>
      </c>
      <c r="D7" s="1">
        <v>1</v>
      </c>
      <c r="E7" s="1">
        <v>301</v>
      </c>
      <c r="F7" s="1">
        <v>101</v>
      </c>
      <c r="G7" t="str">
        <f>VLOOKUP(F7,M_SMP_CommonValues!D:E,2,FALSE)</f>
        <v>所得</v>
      </c>
      <c r="H7" s="1">
        <v>200000</v>
      </c>
      <c r="I7" t="s">
        <v>43</v>
      </c>
      <c r="K7" s="1" t="s">
        <v>47</v>
      </c>
      <c r="L7" s="1" t="s">
        <v>21</v>
      </c>
      <c r="M7" t="s">
        <v>23</v>
      </c>
      <c r="N7" s="1" t="s">
        <v>21</v>
      </c>
      <c r="O7" t="s">
        <v>23</v>
      </c>
      <c r="P7" s="1">
        <v>1</v>
      </c>
      <c r="Q7" s="1">
        <v>0</v>
      </c>
    </row>
    <row r="8" spans="1:17" x14ac:dyDescent="0.7">
      <c r="A8" t="s">
        <v>20</v>
      </c>
      <c r="C8" t="s">
        <v>140</v>
      </c>
      <c r="D8" s="1">
        <v>1</v>
      </c>
      <c r="E8" s="1">
        <v>301</v>
      </c>
      <c r="F8" s="1">
        <v>101</v>
      </c>
      <c r="G8" t="str">
        <f>VLOOKUP(F8,M_SMP_CommonValues!D:E,2,FALSE)</f>
        <v>所得</v>
      </c>
      <c r="H8" s="1">
        <v>200000</v>
      </c>
      <c r="I8" t="s">
        <v>43</v>
      </c>
      <c r="K8" s="1" t="s">
        <v>48</v>
      </c>
      <c r="L8" s="1" t="s">
        <v>21</v>
      </c>
      <c r="M8" t="s">
        <v>23</v>
      </c>
      <c r="N8" s="1" t="s">
        <v>21</v>
      </c>
      <c r="O8" t="s">
        <v>23</v>
      </c>
      <c r="P8" s="1">
        <v>1</v>
      </c>
      <c r="Q8" s="1">
        <v>0</v>
      </c>
    </row>
    <row r="9" spans="1:17" x14ac:dyDescent="0.7">
      <c r="A9" t="s">
        <v>20</v>
      </c>
      <c r="C9" t="s">
        <v>140</v>
      </c>
      <c r="D9" s="1">
        <v>1</v>
      </c>
      <c r="E9" s="1">
        <v>301</v>
      </c>
      <c r="F9" s="1">
        <v>101</v>
      </c>
      <c r="G9" t="str">
        <f>VLOOKUP(F9,M_SMP_CommonValues!D:E,2,FALSE)</f>
        <v>所得</v>
      </c>
      <c r="H9" s="1">
        <v>200000</v>
      </c>
      <c r="I9" t="s">
        <v>43</v>
      </c>
      <c r="K9" s="1" t="s">
        <v>49</v>
      </c>
      <c r="L9" s="1" t="s">
        <v>21</v>
      </c>
      <c r="M9" t="s">
        <v>23</v>
      </c>
      <c r="N9" s="1" t="s">
        <v>21</v>
      </c>
      <c r="O9" t="s">
        <v>23</v>
      </c>
      <c r="P9" s="1">
        <v>1</v>
      </c>
      <c r="Q9" s="1">
        <v>0</v>
      </c>
    </row>
    <row r="10" spans="1:17" x14ac:dyDescent="0.7">
      <c r="A10" t="s">
        <v>20</v>
      </c>
      <c r="C10" t="s">
        <v>140</v>
      </c>
      <c r="D10" s="1">
        <v>1</v>
      </c>
      <c r="E10" s="1">
        <v>301</v>
      </c>
      <c r="F10" s="1">
        <v>101</v>
      </c>
      <c r="G10" t="str">
        <f>VLOOKUP(F10,M_SMP_CommonValues!D:E,2,FALSE)</f>
        <v>所得</v>
      </c>
      <c r="H10" s="1">
        <v>200000</v>
      </c>
      <c r="I10" t="s">
        <v>43</v>
      </c>
      <c r="K10" s="1" t="s">
        <v>50</v>
      </c>
      <c r="L10" s="1" t="s">
        <v>21</v>
      </c>
      <c r="M10" t="s">
        <v>23</v>
      </c>
      <c r="N10" s="1" t="s">
        <v>21</v>
      </c>
      <c r="O10" t="s">
        <v>23</v>
      </c>
      <c r="P10" s="1">
        <v>1</v>
      </c>
      <c r="Q10" s="1">
        <v>0</v>
      </c>
    </row>
    <row r="11" spans="1:17" x14ac:dyDescent="0.7">
      <c r="A11" t="s">
        <v>20</v>
      </c>
      <c r="C11" t="s">
        <v>140</v>
      </c>
      <c r="D11" s="1">
        <v>1</v>
      </c>
      <c r="E11" s="1">
        <v>301</v>
      </c>
      <c r="F11" s="1">
        <v>101</v>
      </c>
      <c r="G11" t="str">
        <f>VLOOKUP(F11,M_SMP_CommonValues!D:E,2,FALSE)</f>
        <v>所得</v>
      </c>
      <c r="H11" s="1">
        <v>200000</v>
      </c>
      <c r="I11" t="s">
        <v>43</v>
      </c>
      <c r="K11" s="1" t="s">
        <v>51</v>
      </c>
      <c r="L11" s="1" t="s">
        <v>21</v>
      </c>
      <c r="M11" t="s">
        <v>23</v>
      </c>
      <c r="N11" s="1" t="s">
        <v>21</v>
      </c>
      <c r="O11" t="s">
        <v>23</v>
      </c>
      <c r="P11" s="1">
        <v>1</v>
      </c>
      <c r="Q11" s="1">
        <v>0</v>
      </c>
    </row>
    <row r="12" spans="1:17" x14ac:dyDescent="0.7">
      <c r="A12" t="s">
        <v>20</v>
      </c>
      <c r="C12" t="s">
        <v>140</v>
      </c>
      <c r="D12" s="1">
        <v>1</v>
      </c>
      <c r="E12" s="1">
        <v>301</v>
      </c>
      <c r="F12" s="1">
        <v>101</v>
      </c>
      <c r="G12" t="str">
        <f>VLOOKUP(F12,M_SMP_CommonValues!D:E,2,FALSE)</f>
        <v>所得</v>
      </c>
      <c r="H12" s="1">
        <v>200000</v>
      </c>
      <c r="I12" t="s">
        <v>43</v>
      </c>
      <c r="K12" s="1" t="s">
        <v>52</v>
      </c>
      <c r="L12" s="1" t="s">
        <v>21</v>
      </c>
      <c r="M12" t="s">
        <v>23</v>
      </c>
      <c r="N12" s="1" t="s">
        <v>21</v>
      </c>
      <c r="O12" t="s">
        <v>23</v>
      </c>
      <c r="P12" s="1">
        <v>1</v>
      </c>
      <c r="Q12" s="1">
        <v>0</v>
      </c>
    </row>
    <row r="13" spans="1:17" x14ac:dyDescent="0.7">
      <c r="A13" t="s">
        <v>20</v>
      </c>
      <c r="C13" t="s">
        <v>140</v>
      </c>
      <c r="D13" s="1">
        <v>1</v>
      </c>
      <c r="E13" s="1">
        <v>301</v>
      </c>
      <c r="F13" s="1">
        <v>101</v>
      </c>
      <c r="G13" t="str">
        <f>VLOOKUP(F13,M_SMP_CommonValues!D:E,2,FALSE)</f>
        <v>所得</v>
      </c>
      <c r="H13" s="1">
        <v>200000</v>
      </c>
      <c r="I13" t="s">
        <v>43</v>
      </c>
      <c r="K13" s="1" t="s">
        <v>53</v>
      </c>
      <c r="L13" s="1" t="s">
        <v>21</v>
      </c>
      <c r="M13" t="s">
        <v>23</v>
      </c>
      <c r="N13" s="1" t="s">
        <v>21</v>
      </c>
      <c r="O13" t="s">
        <v>23</v>
      </c>
      <c r="P13" s="1">
        <v>1</v>
      </c>
      <c r="Q13" s="1">
        <v>0</v>
      </c>
    </row>
    <row r="14" spans="1:17" x14ac:dyDescent="0.7">
      <c r="A14" t="s">
        <v>20</v>
      </c>
      <c r="C14" t="s">
        <v>140</v>
      </c>
      <c r="D14" s="1">
        <v>1</v>
      </c>
      <c r="E14" s="1">
        <v>301</v>
      </c>
      <c r="F14" s="1">
        <v>101</v>
      </c>
      <c r="G14" t="str">
        <f>VLOOKUP(F14,M_SMP_CommonValues!D:E,2,FALSE)</f>
        <v>所得</v>
      </c>
      <c r="H14" s="1">
        <v>200000</v>
      </c>
      <c r="I14" t="s">
        <v>43</v>
      </c>
      <c r="K14" s="1" t="s">
        <v>54</v>
      </c>
      <c r="L14" s="1" t="s">
        <v>21</v>
      </c>
      <c r="M14" t="s">
        <v>23</v>
      </c>
      <c r="N14" s="1" t="s">
        <v>21</v>
      </c>
      <c r="O14" t="s">
        <v>23</v>
      </c>
      <c r="P14" s="1">
        <v>1</v>
      </c>
      <c r="Q14" s="1">
        <v>0</v>
      </c>
    </row>
    <row r="15" spans="1:17" x14ac:dyDescent="0.7">
      <c r="A15" t="s">
        <v>20</v>
      </c>
      <c r="C15" t="s">
        <v>140</v>
      </c>
      <c r="D15" s="1">
        <v>1</v>
      </c>
      <c r="E15" s="1">
        <v>301</v>
      </c>
      <c r="F15" s="1">
        <v>101</v>
      </c>
      <c r="G15" t="str">
        <f>VLOOKUP(F15,M_SMP_CommonValues!D:E,2,FALSE)</f>
        <v>所得</v>
      </c>
      <c r="H15" s="1">
        <v>200000</v>
      </c>
      <c r="I15" t="s">
        <v>43</v>
      </c>
      <c r="K15" s="1" t="s">
        <v>55</v>
      </c>
      <c r="L15" s="1" t="s">
        <v>21</v>
      </c>
      <c r="M15" t="s">
        <v>23</v>
      </c>
      <c r="N15" s="1" t="s">
        <v>21</v>
      </c>
      <c r="O15" t="s">
        <v>23</v>
      </c>
      <c r="P15" s="1">
        <v>1</v>
      </c>
      <c r="Q15" s="1">
        <v>0</v>
      </c>
    </row>
    <row r="16" spans="1:17" x14ac:dyDescent="0.7">
      <c r="A16" t="s">
        <v>20</v>
      </c>
      <c r="C16" t="s">
        <v>140</v>
      </c>
      <c r="D16" s="1">
        <v>1</v>
      </c>
      <c r="E16" s="1">
        <v>301</v>
      </c>
      <c r="F16" s="1">
        <v>101</v>
      </c>
      <c r="G16" t="str">
        <f>VLOOKUP(F16,M_SMP_CommonValues!D:E,2,FALSE)</f>
        <v>所得</v>
      </c>
      <c r="H16" s="1">
        <v>400000</v>
      </c>
      <c r="I16" t="s">
        <v>56</v>
      </c>
      <c r="K16" s="1" t="s">
        <v>47</v>
      </c>
      <c r="L16" s="1" t="s">
        <v>21</v>
      </c>
      <c r="M16" t="s">
        <v>23</v>
      </c>
      <c r="N16" s="1" t="s">
        <v>21</v>
      </c>
      <c r="O16" t="s">
        <v>23</v>
      </c>
      <c r="P16" s="1">
        <v>1</v>
      </c>
      <c r="Q16" s="1">
        <v>0</v>
      </c>
    </row>
    <row r="17" spans="1:17" x14ac:dyDescent="0.7">
      <c r="A17" t="s">
        <v>20</v>
      </c>
      <c r="C17" t="s">
        <v>140</v>
      </c>
      <c r="D17" s="1">
        <v>1</v>
      </c>
      <c r="E17" s="1">
        <v>301</v>
      </c>
      <c r="F17" s="1">
        <v>101</v>
      </c>
      <c r="G17" t="str">
        <f>VLOOKUP(F17,M_SMP_CommonValues!D:E,2,FALSE)</f>
        <v>所得</v>
      </c>
      <c r="H17" s="1">
        <v>400000</v>
      </c>
      <c r="I17" t="s">
        <v>56</v>
      </c>
      <c r="K17" s="1" t="s">
        <v>53</v>
      </c>
      <c r="L17" s="1" t="s">
        <v>21</v>
      </c>
      <c r="M17" t="s">
        <v>23</v>
      </c>
      <c r="N17" s="1" t="s">
        <v>21</v>
      </c>
      <c r="O17" t="s">
        <v>23</v>
      </c>
      <c r="P17" s="1">
        <v>1</v>
      </c>
      <c r="Q17" s="1">
        <v>0</v>
      </c>
    </row>
    <row r="18" spans="1:17" x14ac:dyDescent="0.7">
      <c r="A18" t="s">
        <v>20</v>
      </c>
      <c r="C18" t="s">
        <v>140</v>
      </c>
      <c r="D18" s="1">
        <v>1</v>
      </c>
      <c r="E18" s="1">
        <v>302</v>
      </c>
      <c r="F18" s="1">
        <v>205</v>
      </c>
      <c r="G18" t="str">
        <f>VLOOKUP(F18,M_SMP_CommonValues!D:E,2,FALSE)</f>
        <v>娯楽費</v>
      </c>
      <c r="H18" s="1">
        <v>1800</v>
      </c>
      <c r="I18" t="s">
        <v>118</v>
      </c>
      <c r="J18" t="s">
        <v>68</v>
      </c>
      <c r="K18" s="1" t="s">
        <v>119</v>
      </c>
      <c r="L18" s="1" t="s">
        <v>21</v>
      </c>
      <c r="M18" t="s">
        <v>23</v>
      </c>
      <c r="N18" s="1" t="s">
        <v>21</v>
      </c>
      <c r="O18" t="s">
        <v>23</v>
      </c>
      <c r="P18" s="1">
        <v>1</v>
      </c>
      <c r="Q18" s="1">
        <v>0</v>
      </c>
    </row>
    <row r="19" spans="1:17" x14ac:dyDescent="0.7">
      <c r="A19" t="s">
        <v>20</v>
      </c>
      <c r="C19" t="s">
        <v>140</v>
      </c>
      <c r="D19" s="1">
        <v>1</v>
      </c>
      <c r="E19" s="1">
        <v>302</v>
      </c>
      <c r="F19" s="1">
        <v>205</v>
      </c>
      <c r="G19" t="str">
        <f>VLOOKUP(F19,M_SMP_CommonValues!D:E,2,FALSE)</f>
        <v>娯楽費</v>
      </c>
      <c r="H19" s="1">
        <v>1800</v>
      </c>
      <c r="I19" t="s">
        <v>118</v>
      </c>
      <c r="J19" t="s">
        <v>68</v>
      </c>
      <c r="K19" s="1" t="s">
        <v>67</v>
      </c>
      <c r="L19" s="1" t="s">
        <v>21</v>
      </c>
      <c r="M19" t="s">
        <v>23</v>
      </c>
      <c r="N19" s="1" t="s">
        <v>21</v>
      </c>
      <c r="O19" t="s">
        <v>23</v>
      </c>
      <c r="P19" s="1">
        <v>1</v>
      </c>
      <c r="Q19" s="1">
        <v>0</v>
      </c>
    </row>
    <row r="20" spans="1:17" x14ac:dyDescent="0.7">
      <c r="A20" t="s">
        <v>20</v>
      </c>
      <c r="C20" t="s">
        <v>140</v>
      </c>
      <c r="D20" s="1">
        <v>1</v>
      </c>
      <c r="E20" s="1">
        <v>302</v>
      </c>
      <c r="F20" s="1">
        <v>205</v>
      </c>
      <c r="G20" t="str">
        <f>VLOOKUP(F20,M_SMP_CommonValues!D:E,2,FALSE)</f>
        <v>娯楽費</v>
      </c>
      <c r="H20" s="1">
        <v>1800</v>
      </c>
      <c r="I20" t="s">
        <v>118</v>
      </c>
      <c r="J20" t="s">
        <v>69</v>
      </c>
      <c r="K20" s="1" t="s">
        <v>120</v>
      </c>
      <c r="L20" s="1" t="s">
        <v>21</v>
      </c>
      <c r="M20" t="s">
        <v>23</v>
      </c>
      <c r="N20" s="1" t="s">
        <v>21</v>
      </c>
      <c r="O20" t="s">
        <v>23</v>
      </c>
      <c r="P20" s="1">
        <v>1</v>
      </c>
      <c r="Q20" s="1">
        <v>0</v>
      </c>
    </row>
    <row r="21" spans="1:17" x14ac:dyDescent="0.7">
      <c r="A21" t="s">
        <v>20</v>
      </c>
      <c r="C21" t="s">
        <v>140</v>
      </c>
      <c r="D21" s="1">
        <v>1</v>
      </c>
      <c r="E21" s="1">
        <v>302</v>
      </c>
      <c r="F21" s="1">
        <v>205</v>
      </c>
      <c r="G21" t="str">
        <f>VLOOKUP(F21,M_SMP_CommonValues!D:E,2,FALSE)</f>
        <v>娯楽費</v>
      </c>
      <c r="H21" s="1">
        <v>1800</v>
      </c>
      <c r="I21" t="s">
        <v>118</v>
      </c>
      <c r="J21" t="s">
        <v>121</v>
      </c>
      <c r="K21" s="1" t="s">
        <v>115</v>
      </c>
      <c r="L21" s="1" t="s">
        <v>21</v>
      </c>
      <c r="M21" t="s">
        <v>23</v>
      </c>
      <c r="N21" s="1" t="s">
        <v>21</v>
      </c>
      <c r="O21" t="s">
        <v>23</v>
      </c>
      <c r="P21" s="1">
        <v>1</v>
      </c>
      <c r="Q21" s="1">
        <v>0</v>
      </c>
    </row>
    <row r="22" spans="1:17" x14ac:dyDescent="0.7">
      <c r="A22" t="s">
        <v>20</v>
      </c>
      <c r="C22" t="s">
        <v>140</v>
      </c>
      <c r="D22" s="1">
        <v>1</v>
      </c>
      <c r="E22" s="1">
        <v>302</v>
      </c>
      <c r="F22" s="1">
        <v>207</v>
      </c>
      <c r="G22" t="str">
        <f>VLOOKUP(F22,M_SMP_CommonValues!D:E,2,FALSE)</f>
        <v>医療・衛生費</v>
      </c>
      <c r="H22" s="1">
        <v>2000</v>
      </c>
      <c r="I22" t="s">
        <v>70</v>
      </c>
      <c r="K22" s="1" t="s">
        <v>66</v>
      </c>
      <c r="L22" s="1" t="s">
        <v>21</v>
      </c>
      <c r="M22" t="s">
        <v>23</v>
      </c>
      <c r="N22" s="1" t="s">
        <v>21</v>
      </c>
      <c r="O22" t="s">
        <v>23</v>
      </c>
      <c r="P22" s="1">
        <v>1</v>
      </c>
      <c r="Q22" s="1">
        <v>0</v>
      </c>
    </row>
    <row r="23" spans="1:17" x14ac:dyDescent="0.7">
      <c r="A23" t="s">
        <v>20</v>
      </c>
      <c r="C23" t="s">
        <v>140</v>
      </c>
      <c r="D23" s="1">
        <v>1</v>
      </c>
      <c r="E23" s="1">
        <v>302</v>
      </c>
      <c r="F23" s="1">
        <v>207</v>
      </c>
      <c r="G23" t="str">
        <f>VLOOKUP(F23,M_SMP_CommonValues!D:E,2,FALSE)</f>
        <v>医療・衛生費</v>
      </c>
      <c r="H23" s="1">
        <v>1000</v>
      </c>
      <c r="I23" t="s">
        <v>71</v>
      </c>
      <c r="K23" s="1" t="s">
        <v>66</v>
      </c>
      <c r="L23" s="1" t="s">
        <v>21</v>
      </c>
      <c r="M23" t="s">
        <v>23</v>
      </c>
      <c r="N23" s="1" t="s">
        <v>21</v>
      </c>
      <c r="O23" t="s">
        <v>23</v>
      </c>
      <c r="P23" s="1">
        <v>1</v>
      </c>
      <c r="Q23" s="1">
        <v>0</v>
      </c>
    </row>
    <row r="24" spans="1:17" x14ac:dyDescent="0.7">
      <c r="A24" t="s">
        <v>20</v>
      </c>
      <c r="C24" t="s">
        <v>140</v>
      </c>
      <c r="D24" s="1">
        <v>1</v>
      </c>
      <c r="E24" s="1">
        <v>302</v>
      </c>
      <c r="F24" s="1">
        <v>207</v>
      </c>
      <c r="G24" t="str">
        <f>VLOOKUP(F24,M_SMP_CommonValues!D:E,2,FALSE)</f>
        <v>医療・衛生費</v>
      </c>
      <c r="H24" s="1">
        <v>2000</v>
      </c>
      <c r="I24" t="s">
        <v>70</v>
      </c>
      <c r="K24" s="1" t="s">
        <v>72</v>
      </c>
      <c r="L24" s="1" t="s">
        <v>21</v>
      </c>
      <c r="M24" t="s">
        <v>23</v>
      </c>
      <c r="N24" s="1" t="s">
        <v>21</v>
      </c>
      <c r="O24" t="s">
        <v>23</v>
      </c>
      <c r="P24" s="1">
        <v>1</v>
      </c>
      <c r="Q24" s="1">
        <v>0</v>
      </c>
    </row>
    <row r="25" spans="1:17" x14ac:dyDescent="0.7">
      <c r="A25" t="s">
        <v>20</v>
      </c>
      <c r="C25" t="s">
        <v>140</v>
      </c>
      <c r="D25" s="1">
        <v>1</v>
      </c>
      <c r="E25" s="1">
        <v>302</v>
      </c>
      <c r="F25" s="1">
        <v>207</v>
      </c>
      <c r="G25" t="str">
        <f>VLOOKUP(F25,M_SMP_CommonValues!D:E,2,FALSE)</f>
        <v>医療・衛生費</v>
      </c>
      <c r="H25" s="1">
        <v>1000</v>
      </c>
      <c r="I25" t="s">
        <v>71</v>
      </c>
      <c r="K25" s="1" t="s">
        <v>72</v>
      </c>
      <c r="L25" s="1" t="s">
        <v>21</v>
      </c>
      <c r="M25" t="s">
        <v>23</v>
      </c>
      <c r="N25" s="1" t="s">
        <v>21</v>
      </c>
      <c r="O25" t="s">
        <v>23</v>
      </c>
      <c r="P25" s="1">
        <v>1</v>
      </c>
      <c r="Q25" s="1">
        <v>0</v>
      </c>
    </row>
    <row r="26" spans="1:17" x14ac:dyDescent="0.7">
      <c r="A26" t="s">
        <v>20</v>
      </c>
      <c r="C26" t="s">
        <v>140</v>
      </c>
      <c r="D26" s="1">
        <v>1</v>
      </c>
      <c r="E26" s="1">
        <v>302</v>
      </c>
      <c r="F26" s="1">
        <v>207</v>
      </c>
      <c r="G26" t="str">
        <f>VLOOKUP(F26,M_SMP_CommonValues!D:E,2,FALSE)</f>
        <v>医療・衛生費</v>
      </c>
      <c r="H26" s="1">
        <v>2000</v>
      </c>
      <c r="I26" t="s">
        <v>70</v>
      </c>
      <c r="K26" s="1" t="s">
        <v>73</v>
      </c>
      <c r="L26" s="1" t="s">
        <v>21</v>
      </c>
      <c r="M26" t="s">
        <v>23</v>
      </c>
      <c r="N26" s="1" t="s">
        <v>21</v>
      </c>
      <c r="O26" t="s">
        <v>23</v>
      </c>
      <c r="P26" s="1">
        <v>1</v>
      </c>
      <c r="Q26" s="1">
        <v>0</v>
      </c>
    </row>
    <row r="27" spans="1:17" x14ac:dyDescent="0.7">
      <c r="A27" t="s">
        <v>20</v>
      </c>
      <c r="C27" t="s">
        <v>140</v>
      </c>
      <c r="D27" s="1">
        <v>1</v>
      </c>
      <c r="E27" s="1">
        <v>302</v>
      </c>
      <c r="F27" s="1">
        <v>207</v>
      </c>
      <c r="G27" t="str">
        <f>VLOOKUP(F27,M_SMP_CommonValues!D:E,2,FALSE)</f>
        <v>医療・衛生費</v>
      </c>
      <c r="H27" s="1">
        <v>1000</v>
      </c>
      <c r="I27" t="s">
        <v>71</v>
      </c>
      <c r="K27" s="1" t="s">
        <v>73</v>
      </c>
      <c r="L27" s="1" t="s">
        <v>21</v>
      </c>
      <c r="M27" t="s">
        <v>23</v>
      </c>
      <c r="N27" s="1" t="s">
        <v>21</v>
      </c>
      <c r="O27" t="s">
        <v>23</v>
      </c>
      <c r="P27" s="1">
        <v>1</v>
      </c>
      <c r="Q27" s="1">
        <v>0</v>
      </c>
    </row>
    <row r="28" spans="1:17" x14ac:dyDescent="0.7">
      <c r="A28" t="s">
        <v>20</v>
      </c>
      <c r="C28" t="s">
        <v>140</v>
      </c>
      <c r="D28" s="1">
        <v>1</v>
      </c>
      <c r="E28" s="1">
        <v>302</v>
      </c>
      <c r="F28" s="1">
        <v>207</v>
      </c>
      <c r="G28" t="str">
        <f>VLOOKUP(F28,M_SMP_CommonValues!D:E,2,FALSE)</f>
        <v>医療・衛生費</v>
      </c>
      <c r="H28" s="1">
        <v>2000</v>
      </c>
      <c r="I28" t="s">
        <v>70</v>
      </c>
      <c r="K28" s="1" t="s">
        <v>74</v>
      </c>
      <c r="L28" s="1" t="s">
        <v>21</v>
      </c>
      <c r="M28" t="s">
        <v>23</v>
      </c>
      <c r="N28" s="1" t="s">
        <v>21</v>
      </c>
      <c r="O28" t="s">
        <v>23</v>
      </c>
      <c r="P28" s="1">
        <v>1</v>
      </c>
      <c r="Q28" s="1">
        <v>0</v>
      </c>
    </row>
    <row r="29" spans="1:17" x14ac:dyDescent="0.7">
      <c r="A29" t="s">
        <v>20</v>
      </c>
      <c r="C29" t="s">
        <v>140</v>
      </c>
      <c r="D29" s="1">
        <v>1</v>
      </c>
      <c r="E29" s="1">
        <v>302</v>
      </c>
      <c r="F29" s="1">
        <v>207</v>
      </c>
      <c r="G29" t="str">
        <f>VLOOKUP(F29,M_SMP_CommonValues!D:E,2,FALSE)</f>
        <v>医療・衛生費</v>
      </c>
      <c r="H29" s="1">
        <v>1000</v>
      </c>
      <c r="I29" t="s">
        <v>71</v>
      </c>
      <c r="K29" s="1" t="s">
        <v>74</v>
      </c>
      <c r="L29" s="1" t="s">
        <v>21</v>
      </c>
      <c r="M29" t="s">
        <v>23</v>
      </c>
      <c r="N29" s="1" t="s">
        <v>21</v>
      </c>
      <c r="O29" t="s">
        <v>23</v>
      </c>
      <c r="P29" s="1">
        <v>1</v>
      </c>
      <c r="Q29" s="1">
        <v>0</v>
      </c>
    </row>
    <row r="30" spans="1:17" x14ac:dyDescent="0.7">
      <c r="A30" t="s">
        <v>20</v>
      </c>
      <c r="C30" t="s">
        <v>140</v>
      </c>
      <c r="D30" s="1">
        <v>1</v>
      </c>
      <c r="E30" s="1">
        <v>302</v>
      </c>
      <c r="F30" s="1">
        <v>207</v>
      </c>
      <c r="G30" t="str">
        <f>VLOOKUP(F30,M_SMP_CommonValues!D:E,2,FALSE)</f>
        <v>医療・衛生費</v>
      </c>
      <c r="H30" s="1">
        <v>2000</v>
      </c>
      <c r="I30" t="s">
        <v>70</v>
      </c>
      <c r="K30" s="1" t="s">
        <v>75</v>
      </c>
      <c r="L30" s="1" t="s">
        <v>21</v>
      </c>
      <c r="M30" t="s">
        <v>23</v>
      </c>
      <c r="N30" s="1" t="s">
        <v>21</v>
      </c>
      <c r="O30" t="s">
        <v>23</v>
      </c>
      <c r="P30" s="1">
        <v>1</v>
      </c>
      <c r="Q30" s="1">
        <v>0</v>
      </c>
    </row>
    <row r="31" spans="1:17" x14ac:dyDescent="0.7">
      <c r="A31" t="s">
        <v>20</v>
      </c>
      <c r="C31" t="s">
        <v>140</v>
      </c>
      <c r="D31" s="1">
        <v>1</v>
      </c>
      <c r="E31" s="1">
        <v>302</v>
      </c>
      <c r="F31" s="1">
        <v>207</v>
      </c>
      <c r="G31" t="str">
        <f>VLOOKUP(F31,M_SMP_CommonValues!D:E,2,FALSE)</f>
        <v>医療・衛生費</v>
      </c>
      <c r="H31" s="1">
        <v>1000</v>
      </c>
      <c r="I31" t="s">
        <v>71</v>
      </c>
      <c r="K31" s="1" t="s">
        <v>75</v>
      </c>
      <c r="L31" s="1" t="s">
        <v>21</v>
      </c>
      <c r="M31" t="s">
        <v>23</v>
      </c>
      <c r="N31" s="1" t="s">
        <v>21</v>
      </c>
      <c r="O31" t="s">
        <v>23</v>
      </c>
      <c r="P31" s="1">
        <v>1</v>
      </c>
      <c r="Q31" s="1">
        <v>0</v>
      </c>
    </row>
    <row r="32" spans="1:17" x14ac:dyDescent="0.7">
      <c r="A32" t="s">
        <v>20</v>
      </c>
      <c r="C32" t="s">
        <v>140</v>
      </c>
      <c r="D32" s="1">
        <v>1</v>
      </c>
      <c r="E32" s="1">
        <v>302</v>
      </c>
      <c r="F32" s="1">
        <v>207</v>
      </c>
      <c r="G32" t="str">
        <f>VLOOKUP(F32,M_SMP_CommonValues!D:E,2,FALSE)</f>
        <v>医療・衛生費</v>
      </c>
      <c r="H32" s="1">
        <v>2000</v>
      </c>
      <c r="I32" t="s">
        <v>70</v>
      </c>
      <c r="K32" s="1" t="s">
        <v>76</v>
      </c>
      <c r="L32" s="1" t="s">
        <v>21</v>
      </c>
      <c r="M32" t="s">
        <v>23</v>
      </c>
      <c r="N32" s="1" t="s">
        <v>21</v>
      </c>
      <c r="O32" t="s">
        <v>23</v>
      </c>
      <c r="P32" s="1">
        <v>1</v>
      </c>
      <c r="Q32" s="1">
        <v>0</v>
      </c>
    </row>
    <row r="33" spans="1:17" x14ac:dyDescent="0.7">
      <c r="A33" t="s">
        <v>20</v>
      </c>
      <c r="C33" t="s">
        <v>140</v>
      </c>
      <c r="D33" s="1">
        <v>1</v>
      </c>
      <c r="E33" s="1">
        <v>302</v>
      </c>
      <c r="F33" s="1">
        <v>207</v>
      </c>
      <c r="G33" t="str">
        <f>VLOOKUP(F33,M_SMP_CommonValues!D:E,2,FALSE)</f>
        <v>医療・衛生費</v>
      </c>
      <c r="H33" s="1">
        <v>1000</v>
      </c>
      <c r="I33" t="s">
        <v>71</v>
      </c>
      <c r="K33" s="1" t="s">
        <v>76</v>
      </c>
      <c r="L33" s="1" t="s">
        <v>21</v>
      </c>
      <c r="M33" t="s">
        <v>23</v>
      </c>
      <c r="N33" s="1" t="s">
        <v>21</v>
      </c>
      <c r="O33" t="s">
        <v>23</v>
      </c>
      <c r="P33" s="1">
        <v>1</v>
      </c>
      <c r="Q33" s="1">
        <v>0</v>
      </c>
    </row>
    <row r="34" spans="1:17" x14ac:dyDescent="0.7">
      <c r="A34" t="s">
        <v>20</v>
      </c>
      <c r="C34" t="s">
        <v>140</v>
      </c>
      <c r="D34" s="1">
        <v>1</v>
      </c>
      <c r="E34" s="1">
        <v>302</v>
      </c>
      <c r="F34" s="1">
        <v>207</v>
      </c>
      <c r="G34" t="str">
        <f>VLOOKUP(F34,M_SMP_CommonValues!D:E,2,FALSE)</f>
        <v>医療・衛生費</v>
      </c>
      <c r="H34" s="1">
        <v>2000</v>
      </c>
      <c r="I34" t="s">
        <v>70</v>
      </c>
      <c r="K34" s="1" t="s">
        <v>77</v>
      </c>
      <c r="L34" s="1" t="s">
        <v>21</v>
      </c>
      <c r="M34" t="s">
        <v>23</v>
      </c>
      <c r="N34" s="1" t="s">
        <v>21</v>
      </c>
      <c r="O34" t="s">
        <v>23</v>
      </c>
      <c r="P34" s="1">
        <v>1</v>
      </c>
      <c r="Q34" s="1">
        <v>0</v>
      </c>
    </row>
    <row r="35" spans="1:17" x14ac:dyDescent="0.7">
      <c r="A35" t="s">
        <v>20</v>
      </c>
      <c r="C35" t="s">
        <v>140</v>
      </c>
      <c r="D35" s="1">
        <v>1</v>
      </c>
      <c r="E35" s="1">
        <v>302</v>
      </c>
      <c r="F35" s="1">
        <v>207</v>
      </c>
      <c r="G35" t="str">
        <f>VLOOKUP(F35,M_SMP_CommonValues!D:E,2,FALSE)</f>
        <v>医療・衛生費</v>
      </c>
      <c r="H35" s="1">
        <v>1000</v>
      </c>
      <c r="I35" t="s">
        <v>71</v>
      </c>
      <c r="K35" s="1" t="s">
        <v>73</v>
      </c>
      <c r="L35" s="1" t="s">
        <v>21</v>
      </c>
      <c r="M35" t="s">
        <v>23</v>
      </c>
      <c r="N35" s="1" t="s">
        <v>21</v>
      </c>
      <c r="O35" t="s">
        <v>23</v>
      </c>
      <c r="P35" s="1">
        <v>1</v>
      </c>
      <c r="Q35" s="1">
        <v>0</v>
      </c>
    </row>
    <row r="36" spans="1:17" x14ac:dyDescent="0.7">
      <c r="A36" t="s">
        <v>20</v>
      </c>
      <c r="C36" t="s">
        <v>140</v>
      </c>
      <c r="D36" s="1">
        <v>1</v>
      </c>
      <c r="E36" s="1">
        <v>302</v>
      </c>
      <c r="F36" s="1">
        <v>205</v>
      </c>
      <c r="G36" t="str">
        <f>VLOOKUP(F36,M_SMP_CommonValues!D:E,2,FALSE)</f>
        <v>娯楽費</v>
      </c>
      <c r="H36" s="1">
        <v>1800</v>
      </c>
      <c r="I36" t="s">
        <v>118</v>
      </c>
      <c r="J36" t="s">
        <v>78</v>
      </c>
      <c r="K36" s="1" t="s">
        <v>75</v>
      </c>
      <c r="L36" s="1" t="s">
        <v>21</v>
      </c>
      <c r="M36" t="s">
        <v>23</v>
      </c>
      <c r="N36" s="1" t="s">
        <v>21</v>
      </c>
      <c r="O36" t="s">
        <v>23</v>
      </c>
      <c r="P36" s="1">
        <v>1</v>
      </c>
      <c r="Q36" s="1">
        <v>0</v>
      </c>
    </row>
    <row r="37" spans="1:17" x14ac:dyDescent="0.7">
      <c r="A37" t="s">
        <v>20</v>
      </c>
      <c r="C37" t="s">
        <v>140</v>
      </c>
      <c r="D37" s="1">
        <v>1</v>
      </c>
      <c r="E37" s="1">
        <v>302</v>
      </c>
      <c r="F37" s="1">
        <v>205</v>
      </c>
      <c r="G37" t="str">
        <f>VLOOKUP(F37,M_SMP_CommonValues!D:E,2,FALSE)</f>
        <v>娯楽費</v>
      </c>
      <c r="H37" s="1">
        <v>1800</v>
      </c>
      <c r="I37" t="s">
        <v>118</v>
      </c>
      <c r="J37" t="s">
        <v>80</v>
      </c>
      <c r="K37" s="1" t="s">
        <v>79</v>
      </c>
      <c r="L37" s="1" t="s">
        <v>21</v>
      </c>
      <c r="M37" t="s">
        <v>23</v>
      </c>
      <c r="N37" s="1" t="s">
        <v>21</v>
      </c>
      <c r="O37" t="s">
        <v>23</v>
      </c>
      <c r="P37" s="1">
        <v>1</v>
      </c>
      <c r="Q37" s="1">
        <v>0</v>
      </c>
    </row>
    <row r="38" spans="1:17" x14ac:dyDescent="0.7">
      <c r="A38" t="s">
        <v>20</v>
      </c>
      <c r="C38" t="s">
        <v>140</v>
      </c>
      <c r="D38" s="1">
        <v>1</v>
      </c>
      <c r="E38" s="1">
        <v>302</v>
      </c>
      <c r="F38" s="1">
        <v>202</v>
      </c>
      <c r="G38" t="str">
        <f>VLOOKUP(F38,M_SMP_CommonValues!D:E,2,FALSE)</f>
        <v>住居費</v>
      </c>
      <c r="H38" s="1">
        <v>60000</v>
      </c>
      <c r="I38" t="s">
        <v>81</v>
      </c>
      <c r="K38" s="1" t="s">
        <v>45</v>
      </c>
      <c r="L38" s="1" t="s">
        <v>21</v>
      </c>
      <c r="M38" t="s">
        <v>23</v>
      </c>
      <c r="N38" s="1" t="s">
        <v>21</v>
      </c>
      <c r="O38" t="s">
        <v>23</v>
      </c>
      <c r="P38" s="1">
        <v>1</v>
      </c>
      <c r="Q38" s="1">
        <v>0</v>
      </c>
    </row>
    <row r="39" spans="1:17" x14ac:dyDescent="0.7">
      <c r="A39" t="s">
        <v>20</v>
      </c>
      <c r="C39" t="s">
        <v>140</v>
      </c>
      <c r="D39" s="1">
        <v>1</v>
      </c>
      <c r="E39" s="1">
        <v>302</v>
      </c>
      <c r="F39" s="1">
        <v>203</v>
      </c>
      <c r="G39" t="str">
        <f>VLOOKUP(F39,M_SMP_CommonValues!D:E,2,FALSE)</f>
        <v>水道光熱費</v>
      </c>
      <c r="H39" s="1">
        <v>10000</v>
      </c>
      <c r="I39" t="s">
        <v>82</v>
      </c>
      <c r="K39" s="1" t="s">
        <v>45</v>
      </c>
      <c r="L39" s="1" t="s">
        <v>21</v>
      </c>
      <c r="M39" t="s">
        <v>23</v>
      </c>
      <c r="N39" s="1" t="s">
        <v>21</v>
      </c>
      <c r="O39" t="s">
        <v>23</v>
      </c>
      <c r="P39" s="1">
        <v>1</v>
      </c>
      <c r="Q39" s="1">
        <v>0</v>
      </c>
    </row>
    <row r="40" spans="1:17" x14ac:dyDescent="0.7">
      <c r="A40" t="s">
        <v>20</v>
      </c>
      <c r="C40" t="s">
        <v>140</v>
      </c>
      <c r="D40" s="1">
        <v>1</v>
      </c>
      <c r="E40" s="1">
        <v>302</v>
      </c>
      <c r="F40" s="1">
        <v>206</v>
      </c>
      <c r="G40" t="str">
        <f>VLOOKUP(F40,M_SMP_CommonValues!D:E,2,FALSE)</f>
        <v>交通・通信費</v>
      </c>
      <c r="H40" s="1">
        <v>2000</v>
      </c>
      <c r="I40" t="s">
        <v>84</v>
      </c>
      <c r="K40" s="1" t="s">
        <v>83</v>
      </c>
      <c r="L40" s="1" t="s">
        <v>21</v>
      </c>
      <c r="M40" t="s">
        <v>23</v>
      </c>
      <c r="N40" s="1" t="s">
        <v>21</v>
      </c>
      <c r="O40" t="s">
        <v>23</v>
      </c>
      <c r="P40" s="1">
        <v>1</v>
      </c>
      <c r="Q40" s="1">
        <v>0</v>
      </c>
    </row>
    <row r="41" spans="1:17" x14ac:dyDescent="0.7">
      <c r="A41" t="s">
        <v>20</v>
      </c>
      <c r="C41" t="s">
        <v>140</v>
      </c>
      <c r="D41" s="1">
        <v>1</v>
      </c>
      <c r="E41" s="1">
        <v>302</v>
      </c>
      <c r="F41" s="1">
        <v>202</v>
      </c>
      <c r="G41" t="str">
        <f>VLOOKUP(F41,M_SMP_CommonValues!D:E,2,FALSE)</f>
        <v>住居費</v>
      </c>
      <c r="H41" s="1">
        <v>60000</v>
      </c>
      <c r="I41" t="s">
        <v>81</v>
      </c>
      <c r="K41" s="1" t="s">
        <v>46</v>
      </c>
      <c r="L41" s="1" t="s">
        <v>21</v>
      </c>
      <c r="M41" t="s">
        <v>23</v>
      </c>
      <c r="N41" s="1" t="s">
        <v>21</v>
      </c>
      <c r="O41" t="s">
        <v>23</v>
      </c>
      <c r="P41" s="1">
        <v>1</v>
      </c>
      <c r="Q41" s="1">
        <v>0</v>
      </c>
    </row>
    <row r="42" spans="1:17" x14ac:dyDescent="0.7">
      <c r="A42" t="s">
        <v>20</v>
      </c>
      <c r="C42" t="s">
        <v>140</v>
      </c>
      <c r="D42" s="1">
        <v>1</v>
      </c>
      <c r="E42" s="1">
        <v>302</v>
      </c>
      <c r="F42" s="1">
        <v>203</v>
      </c>
      <c r="G42" t="str">
        <f>VLOOKUP(F42,M_SMP_CommonValues!D:E,2,FALSE)</f>
        <v>水道光熱費</v>
      </c>
      <c r="H42" s="1">
        <v>10000</v>
      </c>
      <c r="I42" t="s">
        <v>82</v>
      </c>
      <c r="K42" s="1" t="s">
        <v>46</v>
      </c>
      <c r="L42" s="1" t="s">
        <v>21</v>
      </c>
      <c r="M42" t="s">
        <v>23</v>
      </c>
      <c r="N42" s="1" t="s">
        <v>21</v>
      </c>
      <c r="O42" t="s">
        <v>23</v>
      </c>
      <c r="P42" s="1">
        <v>1</v>
      </c>
      <c r="Q42" s="1">
        <v>0</v>
      </c>
    </row>
    <row r="43" spans="1:17" x14ac:dyDescent="0.7">
      <c r="A43" t="s">
        <v>20</v>
      </c>
      <c r="C43" t="s">
        <v>140</v>
      </c>
      <c r="D43" s="1">
        <v>1</v>
      </c>
      <c r="E43" s="1">
        <v>302</v>
      </c>
      <c r="F43" s="1">
        <v>206</v>
      </c>
      <c r="G43" t="str">
        <f>VLOOKUP(F43,M_SMP_CommonValues!D:E,2,FALSE)</f>
        <v>交通・通信費</v>
      </c>
      <c r="H43" s="1">
        <v>2000</v>
      </c>
      <c r="I43" t="s">
        <v>84</v>
      </c>
      <c r="K43" s="1" t="s">
        <v>85</v>
      </c>
      <c r="L43" s="1" t="s">
        <v>21</v>
      </c>
      <c r="M43" t="s">
        <v>23</v>
      </c>
      <c r="N43" s="1" t="s">
        <v>21</v>
      </c>
      <c r="O43" t="s">
        <v>23</v>
      </c>
      <c r="P43" s="1">
        <v>1</v>
      </c>
      <c r="Q43" s="1">
        <v>0</v>
      </c>
    </row>
    <row r="44" spans="1:17" x14ac:dyDescent="0.7">
      <c r="A44" t="s">
        <v>20</v>
      </c>
      <c r="C44" t="s">
        <v>140</v>
      </c>
      <c r="D44" s="1">
        <v>1</v>
      </c>
      <c r="E44" s="1">
        <v>302</v>
      </c>
      <c r="F44" s="1">
        <v>202</v>
      </c>
      <c r="G44" t="str">
        <f>VLOOKUP(F44,M_SMP_CommonValues!D:E,2,FALSE)</f>
        <v>住居費</v>
      </c>
      <c r="H44" s="1">
        <v>60000</v>
      </c>
      <c r="I44" t="s">
        <v>81</v>
      </c>
      <c r="K44" s="1" t="s">
        <v>47</v>
      </c>
      <c r="L44" s="1" t="s">
        <v>21</v>
      </c>
      <c r="M44" t="s">
        <v>23</v>
      </c>
      <c r="N44" s="1" t="s">
        <v>21</v>
      </c>
      <c r="O44" t="s">
        <v>23</v>
      </c>
      <c r="P44" s="1">
        <v>1</v>
      </c>
      <c r="Q44" s="1">
        <v>0</v>
      </c>
    </row>
    <row r="45" spans="1:17" x14ac:dyDescent="0.7">
      <c r="A45" t="s">
        <v>20</v>
      </c>
      <c r="C45" t="s">
        <v>140</v>
      </c>
      <c r="D45" s="1">
        <v>1</v>
      </c>
      <c r="E45" s="1">
        <v>302</v>
      </c>
      <c r="F45" s="1">
        <v>203</v>
      </c>
      <c r="G45" t="str">
        <f>VLOOKUP(F45,M_SMP_CommonValues!D:E,2,FALSE)</f>
        <v>水道光熱費</v>
      </c>
      <c r="H45" s="1">
        <v>10000</v>
      </c>
      <c r="I45" t="s">
        <v>82</v>
      </c>
      <c r="K45" s="1" t="s">
        <v>47</v>
      </c>
      <c r="L45" s="1" t="s">
        <v>21</v>
      </c>
      <c r="M45" t="s">
        <v>23</v>
      </c>
      <c r="N45" s="1" t="s">
        <v>21</v>
      </c>
      <c r="O45" t="s">
        <v>23</v>
      </c>
      <c r="P45" s="1">
        <v>1</v>
      </c>
      <c r="Q45" s="1">
        <v>0</v>
      </c>
    </row>
    <row r="46" spans="1:17" x14ac:dyDescent="0.7">
      <c r="A46" t="s">
        <v>20</v>
      </c>
      <c r="C46" t="s">
        <v>140</v>
      </c>
      <c r="D46" s="1">
        <v>1</v>
      </c>
      <c r="E46" s="1">
        <v>302</v>
      </c>
      <c r="F46" s="1">
        <v>206</v>
      </c>
      <c r="G46" t="str">
        <f>VLOOKUP(F46,M_SMP_CommonValues!D:E,2,FALSE)</f>
        <v>交通・通信費</v>
      </c>
      <c r="H46" s="1">
        <v>2000</v>
      </c>
      <c r="I46" t="s">
        <v>84</v>
      </c>
      <c r="K46" s="1" t="s">
        <v>86</v>
      </c>
      <c r="L46" s="1" t="s">
        <v>21</v>
      </c>
      <c r="M46" t="s">
        <v>23</v>
      </c>
      <c r="N46" s="1" t="s">
        <v>21</v>
      </c>
      <c r="O46" t="s">
        <v>23</v>
      </c>
      <c r="P46" s="1">
        <v>1</v>
      </c>
      <c r="Q46" s="1">
        <v>0</v>
      </c>
    </row>
    <row r="47" spans="1:17" x14ac:dyDescent="0.7">
      <c r="A47" t="s">
        <v>20</v>
      </c>
      <c r="C47" t="s">
        <v>140</v>
      </c>
      <c r="D47" s="1">
        <v>1</v>
      </c>
      <c r="E47" s="1">
        <v>302</v>
      </c>
      <c r="F47" s="1">
        <v>202</v>
      </c>
      <c r="G47" t="str">
        <f>VLOOKUP(F47,M_SMP_CommonValues!D:E,2,FALSE)</f>
        <v>住居費</v>
      </c>
      <c r="H47" s="1">
        <v>60000</v>
      </c>
      <c r="I47" t="s">
        <v>81</v>
      </c>
      <c r="K47" s="1" t="s">
        <v>48</v>
      </c>
      <c r="L47" s="1" t="s">
        <v>21</v>
      </c>
      <c r="M47" t="s">
        <v>23</v>
      </c>
      <c r="N47" s="1" t="s">
        <v>21</v>
      </c>
      <c r="O47" t="s">
        <v>23</v>
      </c>
      <c r="P47" s="1">
        <v>1</v>
      </c>
      <c r="Q47" s="1">
        <v>0</v>
      </c>
    </row>
    <row r="48" spans="1:17" x14ac:dyDescent="0.7">
      <c r="A48" t="s">
        <v>20</v>
      </c>
      <c r="C48" t="s">
        <v>140</v>
      </c>
      <c r="D48" s="1">
        <v>1</v>
      </c>
      <c r="E48" s="1">
        <v>302</v>
      </c>
      <c r="F48" s="1">
        <v>203</v>
      </c>
      <c r="G48" t="str">
        <f>VLOOKUP(F48,M_SMP_CommonValues!D:E,2,FALSE)</f>
        <v>水道光熱費</v>
      </c>
      <c r="H48" s="1">
        <v>10000</v>
      </c>
      <c r="I48" t="s">
        <v>82</v>
      </c>
      <c r="K48" s="1" t="s">
        <v>48</v>
      </c>
      <c r="L48" s="1" t="s">
        <v>21</v>
      </c>
      <c r="M48" t="s">
        <v>23</v>
      </c>
      <c r="N48" s="1" t="s">
        <v>21</v>
      </c>
      <c r="O48" t="s">
        <v>23</v>
      </c>
      <c r="P48" s="1">
        <v>1</v>
      </c>
      <c r="Q48" s="1">
        <v>0</v>
      </c>
    </row>
    <row r="49" spans="1:17" x14ac:dyDescent="0.7">
      <c r="A49" t="s">
        <v>20</v>
      </c>
      <c r="C49" t="s">
        <v>140</v>
      </c>
      <c r="D49" s="1">
        <v>1</v>
      </c>
      <c r="E49" s="1">
        <v>302</v>
      </c>
      <c r="F49" s="1">
        <v>206</v>
      </c>
      <c r="G49" t="str">
        <f>VLOOKUP(F49,M_SMP_CommonValues!D:E,2,FALSE)</f>
        <v>交通・通信費</v>
      </c>
      <c r="H49" s="1">
        <v>2000</v>
      </c>
      <c r="I49" t="s">
        <v>84</v>
      </c>
      <c r="K49" s="1" t="s">
        <v>87</v>
      </c>
      <c r="L49" s="1" t="s">
        <v>21</v>
      </c>
      <c r="M49" t="s">
        <v>23</v>
      </c>
      <c r="N49" s="1" t="s">
        <v>21</v>
      </c>
      <c r="O49" t="s">
        <v>23</v>
      </c>
      <c r="P49" s="1">
        <v>1</v>
      </c>
      <c r="Q49" s="1">
        <v>0</v>
      </c>
    </row>
    <row r="50" spans="1:17" x14ac:dyDescent="0.7">
      <c r="A50" t="s">
        <v>20</v>
      </c>
      <c r="C50" t="s">
        <v>140</v>
      </c>
      <c r="D50" s="1">
        <v>1</v>
      </c>
      <c r="E50" s="1">
        <v>302</v>
      </c>
      <c r="F50" s="1">
        <v>202</v>
      </c>
      <c r="G50" t="str">
        <f>VLOOKUP(F50,M_SMP_CommonValues!D:E,2,FALSE)</f>
        <v>住居費</v>
      </c>
      <c r="H50" s="1">
        <v>60000</v>
      </c>
      <c r="I50" t="s">
        <v>81</v>
      </c>
      <c r="K50" s="1" t="s">
        <v>49</v>
      </c>
      <c r="L50" s="1" t="s">
        <v>21</v>
      </c>
      <c r="M50" t="s">
        <v>23</v>
      </c>
      <c r="N50" s="1" t="s">
        <v>21</v>
      </c>
      <c r="O50" t="s">
        <v>23</v>
      </c>
      <c r="P50" s="1">
        <v>1</v>
      </c>
      <c r="Q50" s="1">
        <v>0</v>
      </c>
    </row>
    <row r="51" spans="1:17" x14ac:dyDescent="0.7">
      <c r="A51" t="s">
        <v>20</v>
      </c>
      <c r="C51" t="s">
        <v>140</v>
      </c>
      <c r="D51" s="1">
        <v>1</v>
      </c>
      <c r="E51" s="1">
        <v>302</v>
      </c>
      <c r="F51" s="1">
        <v>203</v>
      </c>
      <c r="G51" t="str">
        <f>VLOOKUP(F51,M_SMP_CommonValues!D:E,2,FALSE)</f>
        <v>水道光熱費</v>
      </c>
      <c r="H51" s="1">
        <v>10000</v>
      </c>
      <c r="I51" t="s">
        <v>82</v>
      </c>
      <c r="K51" s="1" t="s">
        <v>49</v>
      </c>
      <c r="L51" s="1" t="s">
        <v>21</v>
      </c>
      <c r="M51" t="s">
        <v>23</v>
      </c>
      <c r="N51" s="1" t="s">
        <v>21</v>
      </c>
      <c r="O51" t="s">
        <v>23</v>
      </c>
      <c r="P51" s="1">
        <v>1</v>
      </c>
      <c r="Q51" s="1">
        <v>0</v>
      </c>
    </row>
    <row r="52" spans="1:17" x14ac:dyDescent="0.7">
      <c r="A52" t="s">
        <v>20</v>
      </c>
      <c r="C52" t="s">
        <v>140</v>
      </c>
      <c r="D52" s="1">
        <v>1</v>
      </c>
      <c r="E52" s="1">
        <v>302</v>
      </c>
      <c r="F52" s="1">
        <v>206</v>
      </c>
      <c r="G52" t="str">
        <f>VLOOKUP(F52,M_SMP_CommonValues!D:E,2,FALSE)</f>
        <v>交通・通信費</v>
      </c>
      <c r="H52" s="1">
        <v>2000</v>
      </c>
      <c r="I52" t="s">
        <v>84</v>
      </c>
      <c r="K52" s="1" t="s">
        <v>88</v>
      </c>
      <c r="L52" s="1" t="s">
        <v>21</v>
      </c>
      <c r="M52" t="s">
        <v>23</v>
      </c>
      <c r="N52" s="1" t="s">
        <v>21</v>
      </c>
      <c r="O52" t="s">
        <v>23</v>
      </c>
      <c r="P52" s="1">
        <v>1</v>
      </c>
      <c r="Q52" s="1">
        <v>0</v>
      </c>
    </row>
    <row r="53" spans="1:17" x14ac:dyDescent="0.7">
      <c r="A53" t="s">
        <v>20</v>
      </c>
      <c r="C53" t="s">
        <v>140</v>
      </c>
      <c r="D53" s="1">
        <v>1</v>
      </c>
      <c r="E53" s="1">
        <v>302</v>
      </c>
      <c r="F53" s="1">
        <v>202</v>
      </c>
      <c r="G53" t="str">
        <f>VLOOKUP(F53,M_SMP_CommonValues!D:E,2,FALSE)</f>
        <v>住居費</v>
      </c>
      <c r="H53" s="1">
        <v>60000</v>
      </c>
      <c r="I53" t="s">
        <v>81</v>
      </c>
      <c r="K53" s="1" t="s">
        <v>50</v>
      </c>
      <c r="L53" s="1" t="s">
        <v>21</v>
      </c>
      <c r="M53" t="s">
        <v>23</v>
      </c>
      <c r="N53" s="1" t="s">
        <v>21</v>
      </c>
      <c r="O53" t="s">
        <v>23</v>
      </c>
      <c r="P53" s="1">
        <v>1</v>
      </c>
      <c r="Q53" s="1">
        <v>0</v>
      </c>
    </row>
    <row r="54" spans="1:17" x14ac:dyDescent="0.7">
      <c r="A54" t="s">
        <v>20</v>
      </c>
      <c r="C54" t="s">
        <v>140</v>
      </c>
      <c r="D54" s="1">
        <v>1</v>
      </c>
      <c r="E54" s="1">
        <v>302</v>
      </c>
      <c r="F54" s="1">
        <v>203</v>
      </c>
      <c r="G54" t="str">
        <f>VLOOKUP(F54,M_SMP_CommonValues!D:E,2,FALSE)</f>
        <v>水道光熱費</v>
      </c>
      <c r="H54" s="1">
        <v>10000</v>
      </c>
      <c r="I54" t="s">
        <v>82</v>
      </c>
      <c r="K54" s="1" t="s">
        <v>50</v>
      </c>
      <c r="L54" s="1" t="s">
        <v>21</v>
      </c>
      <c r="M54" t="s">
        <v>23</v>
      </c>
      <c r="N54" s="1" t="s">
        <v>21</v>
      </c>
      <c r="O54" t="s">
        <v>23</v>
      </c>
      <c r="P54" s="1">
        <v>1</v>
      </c>
      <c r="Q54" s="1">
        <v>0</v>
      </c>
    </row>
    <row r="55" spans="1:17" x14ac:dyDescent="0.7">
      <c r="A55" t="s">
        <v>20</v>
      </c>
      <c r="C55" t="s">
        <v>140</v>
      </c>
      <c r="D55" s="1">
        <v>1</v>
      </c>
      <c r="E55" s="1">
        <v>302</v>
      </c>
      <c r="F55" s="1">
        <v>206</v>
      </c>
      <c r="G55" t="str">
        <f>VLOOKUP(F55,M_SMP_CommonValues!D:E,2,FALSE)</f>
        <v>交通・通信費</v>
      </c>
      <c r="H55" s="1">
        <v>2000</v>
      </c>
      <c r="I55" t="s">
        <v>84</v>
      </c>
      <c r="K55" s="1" t="s">
        <v>89</v>
      </c>
      <c r="L55" s="1" t="s">
        <v>21</v>
      </c>
      <c r="M55" t="s">
        <v>23</v>
      </c>
      <c r="N55" s="1" t="s">
        <v>21</v>
      </c>
      <c r="O55" t="s">
        <v>23</v>
      </c>
      <c r="P55" s="1">
        <v>1</v>
      </c>
      <c r="Q55" s="1">
        <v>0</v>
      </c>
    </row>
    <row r="56" spans="1:17" x14ac:dyDescent="0.7">
      <c r="A56" t="s">
        <v>20</v>
      </c>
      <c r="C56" t="s">
        <v>140</v>
      </c>
      <c r="D56" s="1">
        <v>1</v>
      </c>
      <c r="E56" s="1">
        <v>302</v>
      </c>
      <c r="F56" s="1">
        <v>202</v>
      </c>
      <c r="G56" t="str">
        <f>VLOOKUP(F56,M_SMP_CommonValues!D:E,2,FALSE)</f>
        <v>住居費</v>
      </c>
      <c r="H56" s="1">
        <v>60000</v>
      </c>
      <c r="I56" t="s">
        <v>81</v>
      </c>
      <c r="K56" s="1" t="s">
        <v>51</v>
      </c>
      <c r="L56" s="1" t="s">
        <v>21</v>
      </c>
      <c r="M56" t="s">
        <v>23</v>
      </c>
      <c r="N56" s="1" t="s">
        <v>21</v>
      </c>
      <c r="O56" t="s">
        <v>23</v>
      </c>
      <c r="P56" s="1">
        <v>1</v>
      </c>
      <c r="Q56" s="1">
        <v>0</v>
      </c>
    </row>
    <row r="57" spans="1:17" x14ac:dyDescent="0.7">
      <c r="A57" t="s">
        <v>20</v>
      </c>
      <c r="C57" t="s">
        <v>140</v>
      </c>
      <c r="D57" s="1">
        <v>1</v>
      </c>
      <c r="E57" s="1">
        <v>302</v>
      </c>
      <c r="F57" s="1">
        <v>203</v>
      </c>
      <c r="G57" t="str">
        <f>VLOOKUP(F57,M_SMP_CommonValues!D:E,2,FALSE)</f>
        <v>水道光熱費</v>
      </c>
      <c r="H57" s="1">
        <v>10000</v>
      </c>
      <c r="I57" t="s">
        <v>82</v>
      </c>
      <c r="K57" s="1" t="s">
        <v>51</v>
      </c>
      <c r="L57" s="1" t="s">
        <v>21</v>
      </c>
      <c r="M57" t="s">
        <v>23</v>
      </c>
      <c r="N57" s="1" t="s">
        <v>21</v>
      </c>
      <c r="O57" t="s">
        <v>23</v>
      </c>
      <c r="P57" s="1">
        <v>1</v>
      </c>
      <c r="Q57" s="1">
        <v>0</v>
      </c>
    </row>
    <row r="58" spans="1:17" x14ac:dyDescent="0.7">
      <c r="A58" t="s">
        <v>20</v>
      </c>
      <c r="C58" t="s">
        <v>140</v>
      </c>
      <c r="D58" s="1">
        <v>1</v>
      </c>
      <c r="E58" s="1">
        <v>302</v>
      </c>
      <c r="F58" s="1">
        <v>206</v>
      </c>
      <c r="G58" t="str">
        <f>VLOOKUP(F58,M_SMP_CommonValues!D:E,2,FALSE)</f>
        <v>交通・通信費</v>
      </c>
      <c r="H58" s="1">
        <v>2000</v>
      </c>
      <c r="I58" t="s">
        <v>84</v>
      </c>
      <c r="K58" s="1" t="s">
        <v>90</v>
      </c>
      <c r="L58" s="1" t="s">
        <v>21</v>
      </c>
      <c r="M58" t="s">
        <v>23</v>
      </c>
      <c r="N58" s="1" t="s">
        <v>21</v>
      </c>
      <c r="O58" t="s">
        <v>23</v>
      </c>
      <c r="P58" s="1">
        <v>1</v>
      </c>
      <c r="Q58" s="1">
        <v>0</v>
      </c>
    </row>
    <row r="59" spans="1:17" x14ac:dyDescent="0.7">
      <c r="A59" t="s">
        <v>20</v>
      </c>
      <c r="C59" t="s">
        <v>140</v>
      </c>
      <c r="D59" s="1">
        <v>1</v>
      </c>
      <c r="E59" s="1">
        <v>302</v>
      </c>
      <c r="F59" s="1">
        <v>202</v>
      </c>
      <c r="G59" t="str">
        <f>VLOOKUP(F59,M_SMP_CommonValues!D:E,2,FALSE)</f>
        <v>住居費</v>
      </c>
      <c r="H59" s="1">
        <v>60000</v>
      </c>
      <c r="I59" t="s">
        <v>81</v>
      </c>
      <c r="K59" s="1" t="s">
        <v>52</v>
      </c>
      <c r="L59" s="1" t="s">
        <v>21</v>
      </c>
      <c r="M59" t="s">
        <v>23</v>
      </c>
      <c r="N59" s="1" t="s">
        <v>21</v>
      </c>
      <c r="O59" t="s">
        <v>23</v>
      </c>
      <c r="P59" s="1">
        <v>1</v>
      </c>
      <c r="Q59" s="1">
        <v>0</v>
      </c>
    </row>
    <row r="60" spans="1:17" x14ac:dyDescent="0.7">
      <c r="A60" t="s">
        <v>20</v>
      </c>
      <c r="C60" t="s">
        <v>140</v>
      </c>
      <c r="D60" s="1">
        <v>1</v>
      </c>
      <c r="E60" s="1">
        <v>302</v>
      </c>
      <c r="F60" s="1">
        <v>203</v>
      </c>
      <c r="G60" t="str">
        <f>VLOOKUP(F60,M_SMP_CommonValues!D:E,2,FALSE)</f>
        <v>水道光熱費</v>
      </c>
      <c r="H60" s="1">
        <v>10000</v>
      </c>
      <c r="I60" t="s">
        <v>82</v>
      </c>
      <c r="K60" s="1" t="s">
        <v>52</v>
      </c>
      <c r="L60" s="1" t="s">
        <v>21</v>
      </c>
      <c r="M60" t="s">
        <v>23</v>
      </c>
      <c r="N60" s="1" t="s">
        <v>21</v>
      </c>
      <c r="O60" t="s">
        <v>23</v>
      </c>
      <c r="P60" s="1">
        <v>1</v>
      </c>
      <c r="Q60" s="1">
        <v>0</v>
      </c>
    </row>
    <row r="61" spans="1:17" x14ac:dyDescent="0.7">
      <c r="A61" t="s">
        <v>20</v>
      </c>
      <c r="C61" t="s">
        <v>140</v>
      </c>
      <c r="D61" s="1">
        <v>1</v>
      </c>
      <c r="E61" s="1">
        <v>302</v>
      </c>
      <c r="F61" s="1">
        <v>206</v>
      </c>
      <c r="G61" t="str">
        <f>VLOOKUP(F61,M_SMP_CommonValues!D:E,2,FALSE)</f>
        <v>交通・通信費</v>
      </c>
      <c r="H61" s="1">
        <v>2000</v>
      </c>
      <c r="I61" t="s">
        <v>84</v>
      </c>
      <c r="K61" s="1" t="s">
        <v>91</v>
      </c>
      <c r="L61" s="1" t="s">
        <v>21</v>
      </c>
      <c r="M61" t="s">
        <v>23</v>
      </c>
      <c r="N61" s="1" t="s">
        <v>21</v>
      </c>
      <c r="O61" t="s">
        <v>23</v>
      </c>
      <c r="P61" s="1">
        <v>1</v>
      </c>
      <c r="Q61" s="1">
        <v>0</v>
      </c>
    </row>
    <row r="62" spans="1:17" x14ac:dyDescent="0.7">
      <c r="A62" t="s">
        <v>20</v>
      </c>
      <c r="C62" t="s">
        <v>140</v>
      </c>
      <c r="D62" s="1">
        <v>1</v>
      </c>
      <c r="E62" s="1">
        <v>302</v>
      </c>
      <c r="F62" s="1">
        <v>202</v>
      </c>
      <c r="G62" t="str">
        <f>VLOOKUP(F62,M_SMP_CommonValues!D:E,2,FALSE)</f>
        <v>住居費</v>
      </c>
      <c r="H62" s="1">
        <v>60000</v>
      </c>
      <c r="I62" t="s">
        <v>81</v>
      </c>
      <c r="K62" s="1" t="s">
        <v>53</v>
      </c>
      <c r="L62" s="1" t="s">
        <v>21</v>
      </c>
      <c r="M62" t="s">
        <v>23</v>
      </c>
      <c r="N62" s="1" t="s">
        <v>21</v>
      </c>
      <c r="O62" t="s">
        <v>23</v>
      </c>
      <c r="P62" s="1">
        <v>1</v>
      </c>
      <c r="Q62" s="1">
        <v>0</v>
      </c>
    </row>
    <row r="63" spans="1:17" x14ac:dyDescent="0.7">
      <c r="A63" t="s">
        <v>20</v>
      </c>
      <c r="C63" t="s">
        <v>140</v>
      </c>
      <c r="D63" s="1">
        <v>1</v>
      </c>
      <c r="E63" s="1">
        <v>302</v>
      </c>
      <c r="F63" s="1">
        <v>203</v>
      </c>
      <c r="G63" t="str">
        <f>VLOOKUP(F63,M_SMP_CommonValues!D:E,2,FALSE)</f>
        <v>水道光熱費</v>
      </c>
      <c r="H63" s="1">
        <v>10000</v>
      </c>
      <c r="I63" t="s">
        <v>82</v>
      </c>
      <c r="K63" s="1" t="s">
        <v>53</v>
      </c>
      <c r="L63" s="1" t="s">
        <v>21</v>
      </c>
      <c r="M63" t="s">
        <v>23</v>
      </c>
      <c r="N63" s="1" t="s">
        <v>21</v>
      </c>
      <c r="O63" t="s">
        <v>23</v>
      </c>
      <c r="P63" s="1">
        <v>1</v>
      </c>
      <c r="Q63" s="1">
        <v>0</v>
      </c>
    </row>
    <row r="64" spans="1:17" x14ac:dyDescent="0.7">
      <c r="A64" t="s">
        <v>20</v>
      </c>
      <c r="C64" t="s">
        <v>140</v>
      </c>
      <c r="D64" s="1">
        <v>1</v>
      </c>
      <c r="E64" s="1">
        <v>302</v>
      </c>
      <c r="F64" s="1">
        <v>206</v>
      </c>
      <c r="G64" t="str">
        <f>VLOOKUP(F64,M_SMP_CommonValues!D:E,2,FALSE)</f>
        <v>交通・通信費</v>
      </c>
      <c r="H64" s="1">
        <v>2000</v>
      </c>
      <c r="I64" t="s">
        <v>84</v>
      </c>
      <c r="K64" s="1" t="s">
        <v>92</v>
      </c>
      <c r="L64" s="1" t="s">
        <v>21</v>
      </c>
      <c r="M64" t="s">
        <v>23</v>
      </c>
      <c r="N64" s="1" t="s">
        <v>21</v>
      </c>
      <c r="O64" t="s">
        <v>23</v>
      </c>
      <c r="P64" s="1">
        <v>1</v>
      </c>
      <c r="Q64" s="1">
        <v>0</v>
      </c>
    </row>
    <row r="65" spans="1:17" x14ac:dyDescent="0.7">
      <c r="A65" t="s">
        <v>20</v>
      </c>
      <c r="C65" t="s">
        <v>140</v>
      </c>
      <c r="D65" s="1">
        <v>1</v>
      </c>
      <c r="E65" s="1">
        <v>302</v>
      </c>
      <c r="F65" s="1">
        <v>204</v>
      </c>
      <c r="G65" t="str">
        <f>VLOOKUP(F65,M_SMP_CommonValues!D:E,2,FALSE)</f>
        <v>教養・教育費</v>
      </c>
      <c r="H65" s="1">
        <v>15000</v>
      </c>
      <c r="I65" t="s">
        <v>93</v>
      </c>
      <c r="K65" s="1" t="s">
        <v>94</v>
      </c>
      <c r="L65" s="1" t="s">
        <v>21</v>
      </c>
      <c r="M65" t="s">
        <v>23</v>
      </c>
      <c r="N65" s="1" t="s">
        <v>21</v>
      </c>
      <c r="O65" t="s">
        <v>23</v>
      </c>
      <c r="P65" s="1">
        <v>1</v>
      </c>
      <c r="Q65" s="1">
        <v>0</v>
      </c>
    </row>
    <row r="66" spans="1:17" x14ac:dyDescent="0.7">
      <c r="A66" t="s">
        <v>20</v>
      </c>
      <c r="C66" t="s">
        <v>140</v>
      </c>
      <c r="D66" s="1">
        <v>1</v>
      </c>
      <c r="E66" s="1">
        <v>302</v>
      </c>
      <c r="F66" s="1">
        <v>204</v>
      </c>
      <c r="G66" t="str">
        <f>VLOOKUP(F66,M_SMP_CommonValues!D:E,2,FALSE)</f>
        <v>教養・教育費</v>
      </c>
      <c r="H66" s="1">
        <v>8000</v>
      </c>
      <c r="I66" t="s">
        <v>96</v>
      </c>
      <c r="K66" s="1" t="s">
        <v>95</v>
      </c>
      <c r="L66" s="1" t="s">
        <v>21</v>
      </c>
      <c r="M66" t="s">
        <v>23</v>
      </c>
      <c r="N66" s="1" t="s">
        <v>21</v>
      </c>
      <c r="O66" t="s">
        <v>23</v>
      </c>
      <c r="P66" s="1">
        <v>1</v>
      </c>
      <c r="Q66" s="1">
        <v>0</v>
      </c>
    </row>
    <row r="67" spans="1:17" x14ac:dyDescent="0.7">
      <c r="A67" t="s">
        <v>20</v>
      </c>
      <c r="C67" t="s">
        <v>140</v>
      </c>
      <c r="D67" s="1">
        <v>1</v>
      </c>
      <c r="E67" s="1">
        <v>302</v>
      </c>
      <c r="F67" s="1">
        <v>204</v>
      </c>
      <c r="G67" t="str">
        <f>VLOOKUP(F67,M_SMP_CommonValues!D:E,2,FALSE)</f>
        <v>教養・教育費</v>
      </c>
      <c r="H67" s="1">
        <v>6000</v>
      </c>
      <c r="I67" t="s">
        <v>97</v>
      </c>
      <c r="K67" s="1" t="s">
        <v>47</v>
      </c>
      <c r="L67" s="1" t="s">
        <v>21</v>
      </c>
      <c r="M67" t="s">
        <v>23</v>
      </c>
      <c r="N67" s="1" t="s">
        <v>21</v>
      </c>
      <c r="O67" t="s">
        <v>23</v>
      </c>
      <c r="P67" s="1">
        <v>1</v>
      </c>
      <c r="Q67" s="1">
        <v>0</v>
      </c>
    </row>
    <row r="68" spans="1:17" x14ac:dyDescent="0.7">
      <c r="A68" t="s">
        <v>20</v>
      </c>
      <c r="C68" t="s">
        <v>140</v>
      </c>
      <c r="D68" s="1">
        <v>1</v>
      </c>
      <c r="E68" s="1">
        <v>302</v>
      </c>
      <c r="F68" s="1">
        <v>205</v>
      </c>
      <c r="G68" t="str">
        <f>VLOOKUP(F68,M_SMP_CommonValues!D:E,2,FALSE)</f>
        <v>娯楽費</v>
      </c>
      <c r="H68" s="1">
        <v>500</v>
      </c>
      <c r="I68" t="s">
        <v>101</v>
      </c>
      <c r="K68" s="1" t="s">
        <v>100</v>
      </c>
      <c r="L68" s="1" t="s">
        <v>21</v>
      </c>
      <c r="M68" t="s">
        <v>23</v>
      </c>
      <c r="N68" s="1" t="s">
        <v>21</v>
      </c>
      <c r="O68" t="s">
        <v>23</v>
      </c>
      <c r="P68" s="1">
        <v>1</v>
      </c>
      <c r="Q68" s="1">
        <v>0</v>
      </c>
    </row>
    <row r="69" spans="1:17" x14ac:dyDescent="0.7">
      <c r="A69" t="s">
        <v>20</v>
      </c>
      <c r="C69" t="s">
        <v>140</v>
      </c>
      <c r="D69" s="1">
        <v>1</v>
      </c>
      <c r="E69" s="1">
        <v>302</v>
      </c>
      <c r="F69" s="1">
        <v>205</v>
      </c>
      <c r="G69" t="str">
        <f>VLOOKUP(F69,M_SMP_CommonValues!D:E,2,FALSE)</f>
        <v>娯楽費</v>
      </c>
      <c r="H69" s="1">
        <v>500</v>
      </c>
      <c r="I69" t="s">
        <v>101</v>
      </c>
      <c r="K69" s="1" t="s">
        <v>100</v>
      </c>
      <c r="L69" s="1" t="s">
        <v>21</v>
      </c>
      <c r="M69" t="s">
        <v>23</v>
      </c>
      <c r="N69" s="1" t="s">
        <v>21</v>
      </c>
      <c r="O69" t="s">
        <v>23</v>
      </c>
      <c r="P69" s="1">
        <v>1</v>
      </c>
      <c r="Q69" s="1">
        <v>0</v>
      </c>
    </row>
    <row r="70" spans="1:17" x14ac:dyDescent="0.7">
      <c r="A70" t="s">
        <v>20</v>
      </c>
      <c r="C70" t="s">
        <v>140</v>
      </c>
      <c r="D70" s="1">
        <v>1</v>
      </c>
      <c r="E70" s="1">
        <v>302</v>
      </c>
      <c r="F70" s="1">
        <v>205</v>
      </c>
      <c r="G70" t="str">
        <f>VLOOKUP(F70,M_SMP_CommonValues!D:E,2,FALSE)</f>
        <v>娯楽費</v>
      </c>
      <c r="H70" s="1">
        <v>500</v>
      </c>
      <c r="I70" t="s">
        <v>101</v>
      </c>
      <c r="K70" s="1" t="s">
        <v>102</v>
      </c>
      <c r="L70" s="1" t="s">
        <v>21</v>
      </c>
      <c r="M70" t="s">
        <v>23</v>
      </c>
      <c r="N70" s="1" t="s">
        <v>21</v>
      </c>
      <c r="O70" t="s">
        <v>23</v>
      </c>
      <c r="P70" s="1">
        <v>1</v>
      </c>
      <c r="Q70" s="1">
        <v>0</v>
      </c>
    </row>
    <row r="71" spans="1:17" x14ac:dyDescent="0.7">
      <c r="A71" t="s">
        <v>20</v>
      </c>
      <c r="C71" t="s">
        <v>140</v>
      </c>
      <c r="D71" s="1">
        <v>1</v>
      </c>
      <c r="E71" s="1">
        <v>302</v>
      </c>
      <c r="F71" s="1">
        <v>205</v>
      </c>
      <c r="G71" t="str">
        <f>VLOOKUP(F71,M_SMP_CommonValues!D:E,2,FALSE)</f>
        <v>娯楽費</v>
      </c>
      <c r="H71" s="1">
        <v>500</v>
      </c>
      <c r="I71" t="s">
        <v>101</v>
      </c>
      <c r="K71" s="1" t="s">
        <v>103</v>
      </c>
      <c r="L71" s="1" t="s">
        <v>21</v>
      </c>
      <c r="M71" t="s">
        <v>23</v>
      </c>
      <c r="N71" s="1" t="s">
        <v>21</v>
      </c>
      <c r="O71" t="s">
        <v>23</v>
      </c>
      <c r="P71" s="1">
        <v>1</v>
      </c>
      <c r="Q71" s="1">
        <v>0</v>
      </c>
    </row>
    <row r="72" spans="1:17" x14ac:dyDescent="0.7">
      <c r="A72" t="s">
        <v>20</v>
      </c>
      <c r="C72" t="s">
        <v>140</v>
      </c>
      <c r="D72" s="1">
        <v>1</v>
      </c>
      <c r="E72" s="1">
        <v>302</v>
      </c>
      <c r="F72" s="1">
        <v>205</v>
      </c>
      <c r="G72" t="str">
        <f>VLOOKUP(F72,M_SMP_CommonValues!D:E,2,FALSE)</f>
        <v>娯楽費</v>
      </c>
      <c r="H72" s="1">
        <v>500</v>
      </c>
      <c r="I72" t="s">
        <v>101</v>
      </c>
      <c r="K72" s="1" t="s">
        <v>103</v>
      </c>
      <c r="L72" s="1" t="s">
        <v>21</v>
      </c>
      <c r="M72" t="s">
        <v>23</v>
      </c>
      <c r="N72" s="1" t="s">
        <v>21</v>
      </c>
      <c r="O72" t="s">
        <v>23</v>
      </c>
      <c r="P72" s="1">
        <v>1</v>
      </c>
      <c r="Q72" s="1">
        <v>0</v>
      </c>
    </row>
    <row r="73" spans="1:17" x14ac:dyDescent="0.7">
      <c r="A73" t="s">
        <v>20</v>
      </c>
      <c r="C73" t="s">
        <v>140</v>
      </c>
      <c r="D73" s="1">
        <v>1</v>
      </c>
      <c r="E73" s="1">
        <v>302</v>
      </c>
      <c r="F73" s="1">
        <v>205</v>
      </c>
      <c r="G73" t="str">
        <f>VLOOKUP(F73,M_SMP_CommonValues!D:E,2,FALSE)</f>
        <v>娯楽費</v>
      </c>
      <c r="H73" s="1">
        <v>500</v>
      </c>
      <c r="I73" t="s">
        <v>101</v>
      </c>
      <c r="K73" s="1" t="s">
        <v>104</v>
      </c>
      <c r="L73" s="1" t="s">
        <v>21</v>
      </c>
      <c r="M73" t="s">
        <v>23</v>
      </c>
      <c r="N73" s="1" t="s">
        <v>21</v>
      </c>
      <c r="O73" t="s">
        <v>23</v>
      </c>
      <c r="P73" s="1">
        <v>1</v>
      </c>
      <c r="Q73" s="1">
        <v>0</v>
      </c>
    </row>
    <row r="74" spans="1:17" x14ac:dyDescent="0.7">
      <c r="A74" t="s">
        <v>20</v>
      </c>
      <c r="C74" t="s">
        <v>140</v>
      </c>
      <c r="D74" s="1">
        <v>1</v>
      </c>
      <c r="E74" s="1">
        <v>302</v>
      </c>
      <c r="F74" s="1">
        <v>205</v>
      </c>
      <c r="G74" t="str">
        <f>VLOOKUP(F74,M_SMP_CommonValues!D:E,2,FALSE)</f>
        <v>娯楽費</v>
      </c>
      <c r="H74" s="1">
        <v>500</v>
      </c>
      <c r="I74" t="s">
        <v>101</v>
      </c>
      <c r="K74" s="1" t="s">
        <v>104</v>
      </c>
      <c r="L74" s="1" t="s">
        <v>21</v>
      </c>
      <c r="M74" t="s">
        <v>23</v>
      </c>
      <c r="N74" s="1" t="s">
        <v>21</v>
      </c>
      <c r="O74" t="s">
        <v>23</v>
      </c>
      <c r="P74" s="1">
        <v>1</v>
      </c>
      <c r="Q74" s="1">
        <v>0</v>
      </c>
    </row>
    <row r="75" spans="1:17" x14ac:dyDescent="0.7">
      <c r="A75" t="s">
        <v>20</v>
      </c>
      <c r="C75" t="s">
        <v>140</v>
      </c>
      <c r="D75" s="1">
        <v>1</v>
      </c>
      <c r="E75" s="1">
        <v>302</v>
      </c>
      <c r="F75" s="1">
        <v>205</v>
      </c>
      <c r="G75" t="str">
        <f>VLOOKUP(F75,M_SMP_CommonValues!D:E,2,FALSE)</f>
        <v>娯楽費</v>
      </c>
      <c r="H75" s="1">
        <v>500</v>
      </c>
      <c r="I75" t="s">
        <v>101</v>
      </c>
      <c r="K75" s="1" t="s">
        <v>104</v>
      </c>
      <c r="L75" s="1" t="s">
        <v>21</v>
      </c>
      <c r="M75" t="s">
        <v>23</v>
      </c>
      <c r="N75" s="1" t="s">
        <v>21</v>
      </c>
      <c r="O75" t="s">
        <v>23</v>
      </c>
      <c r="P75" s="1">
        <v>1</v>
      </c>
      <c r="Q75" s="1">
        <v>0</v>
      </c>
    </row>
    <row r="76" spans="1:17" x14ac:dyDescent="0.7">
      <c r="A76" t="s">
        <v>20</v>
      </c>
      <c r="C76" t="s">
        <v>140</v>
      </c>
      <c r="D76" s="1">
        <v>1</v>
      </c>
      <c r="E76" s="1">
        <v>302</v>
      </c>
      <c r="F76" s="1">
        <v>205</v>
      </c>
      <c r="G76" t="str">
        <f>VLOOKUP(F76,M_SMP_CommonValues!D:E,2,FALSE)</f>
        <v>娯楽費</v>
      </c>
      <c r="H76" s="1">
        <v>500</v>
      </c>
      <c r="I76" t="s">
        <v>101</v>
      </c>
      <c r="K76" s="1" t="s">
        <v>94</v>
      </c>
      <c r="L76" s="1" t="s">
        <v>21</v>
      </c>
      <c r="M76" t="s">
        <v>23</v>
      </c>
      <c r="N76" s="1" t="s">
        <v>21</v>
      </c>
      <c r="O76" t="s">
        <v>23</v>
      </c>
      <c r="P76" s="1">
        <v>1</v>
      </c>
      <c r="Q76" s="1">
        <v>0</v>
      </c>
    </row>
    <row r="77" spans="1:17" x14ac:dyDescent="0.7">
      <c r="A77" t="s">
        <v>20</v>
      </c>
      <c r="C77" t="s">
        <v>140</v>
      </c>
      <c r="D77" s="1">
        <v>1</v>
      </c>
      <c r="E77" s="1">
        <v>302</v>
      </c>
      <c r="F77" s="1">
        <v>205</v>
      </c>
      <c r="G77" t="str">
        <f>VLOOKUP(F77,M_SMP_CommonValues!D:E,2,FALSE)</f>
        <v>娯楽費</v>
      </c>
      <c r="H77" s="1">
        <v>500</v>
      </c>
      <c r="I77" t="s">
        <v>101</v>
      </c>
      <c r="K77" s="1" t="s">
        <v>94</v>
      </c>
      <c r="L77" s="1" t="s">
        <v>21</v>
      </c>
      <c r="M77" t="s">
        <v>23</v>
      </c>
      <c r="N77" s="1" t="s">
        <v>21</v>
      </c>
      <c r="O77" t="s">
        <v>23</v>
      </c>
      <c r="P77" s="1">
        <v>1</v>
      </c>
      <c r="Q77" s="1">
        <v>0</v>
      </c>
    </row>
    <row r="78" spans="1:17" x14ac:dyDescent="0.7">
      <c r="A78" t="s">
        <v>20</v>
      </c>
      <c r="C78" t="s">
        <v>140</v>
      </c>
      <c r="D78" s="1">
        <v>1</v>
      </c>
      <c r="E78" s="1">
        <v>302</v>
      </c>
      <c r="F78" s="1">
        <v>205</v>
      </c>
      <c r="G78" t="str">
        <f>VLOOKUP(F78,M_SMP_CommonValues!D:E,2,FALSE)</f>
        <v>娯楽費</v>
      </c>
      <c r="H78" s="1">
        <v>500</v>
      </c>
      <c r="I78" t="s">
        <v>101</v>
      </c>
      <c r="K78" s="1" t="s">
        <v>94</v>
      </c>
      <c r="L78" s="1" t="s">
        <v>21</v>
      </c>
      <c r="M78" t="s">
        <v>23</v>
      </c>
      <c r="N78" s="1" t="s">
        <v>21</v>
      </c>
      <c r="O78" t="s">
        <v>23</v>
      </c>
      <c r="P78" s="1">
        <v>1</v>
      </c>
      <c r="Q78" s="1">
        <v>0</v>
      </c>
    </row>
    <row r="79" spans="1:17" x14ac:dyDescent="0.7">
      <c r="A79" t="s">
        <v>20</v>
      </c>
      <c r="C79" t="s">
        <v>140</v>
      </c>
      <c r="D79" s="1">
        <v>1</v>
      </c>
      <c r="E79" s="1">
        <v>302</v>
      </c>
      <c r="F79" s="1">
        <v>205</v>
      </c>
      <c r="G79" t="str">
        <f>VLOOKUP(F79,M_SMP_CommonValues!D:E,2,FALSE)</f>
        <v>娯楽費</v>
      </c>
      <c r="H79" s="1">
        <v>500</v>
      </c>
      <c r="I79" t="s">
        <v>101</v>
      </c>
      <c r="K79" s="1" t="s">
        <v>94</v>
      </c>
      <c r="L79" s="1" t="s">
        <v>21</v>
      </c>
      <c r="M79" t="s">
        <v>23</v>
      </c>
      <c r="N79" s="1" t="s">
        <v>21</v>
      </c>
      <c r="O79" t="s">
        <v>23</v>
      </c>
      <c r="P79" s="1">
        <v>1</v>
      </c>
      <c r="Q79" s="1">
        <v>0</v>
      </c>
    </row>
    <row r="80" spans="1:17" x14ac:dyDescent="0.7">
      <c r="A80" t="s">
        <v>20</v>
      </c>
      <c r="C80" t="s">
        <v>140</v>
      </c>
      <c r="D80" s="1">
        <v>1</v>
      </c>
      <c r="E80" s="1">
        <v>302</v>
      </c>
      <c r="F80" s="1">
        <v>205</v>
      </c>
      <c r="G80" t="str">
        <f>VLOOKUP(F80,M_SMP_CommonValues!D:E,2,FALSE)</f>
        <v>娯楽費</v>
      </c>
      <c r="H80" s="1">
        <v>500</v>
      </c>
      <c r="I80" t="s">
        <v>101</v>
      </c>
      <c r="K80" s="1" t="s">
        <v>94</v>
      </c>
      <c r="L80" s="1" t="s">
        <v>21</v>
      </c>
      <c r="M80" t="s">
        <v>23</v>
      </c>
      <c r="N80" s="1" t="s">
        <v>21</v>
      </c>
      <c r="O80" t="s">
        <v>23</v>
      </c>
      <c r="P80" s="1">
        <v>1</v>
      </c>
      <c r="Q80" s="1">
        <v>0</v>
      </c>
    </row>
    <row r="81" spans="1:17" x14ac:dyDescent="0.7">
      <c r="A81" t="s">
        <v>20</v>
      </c>
      <c r="C81" t="s">
        <v>140</v>
      </c>
      <c r="D81" s="1">
        <v>1</v>
      </c>
      <c r="E81" s="1">
        <v>302</v>
      </c>
      <c r="F81" s="1">
        <v>205</v>
      </c>
      <c r="G81" t="str">
        <f>VLOOKUP(F81,M_SMP_CommonValues!D:E,2,FALSE)</f>
        <v>娯楽費</v>
      </c>
      <c r="H81" s="1">
        <v>500</v>
      </c>
      <c r="I81" t="s">
        <v>101</v>
      </c>
      <c r="K81" s="1" t="s">
        <v>105</v>
      </c>
      <c r="L81" s="1" t="s">
        <v>21</v>
      </c>
      <c r="M81" t="s">
        <v>23</v>
      </c>
      <c r="N81" s="1" t="s">
        <v>21</v>
      </c>
      <c r="O81" t="s">
        <v>23</v>
      </c>
      <c r="P81" s="1">
        <v>1</v>
      </c>
      <c r="Q81" s="1">
        <v>0</v>
      </c>
    </row>
    <row r="82" spans="1:17" x14ac:dyDescent="0.7">
      <c r="A82" t="s">
        <v>20</v>
      </c>
      <c r="C82" t="s">
        <v>140</v>
      </c>
      <c r="D82" s="1">
        <v>1</v>
      </c>
      <c r="E82" s="1">
        <v>302</v>
      </c>
      <c r="F82" s="1">
        <v>205</v>
      </c>
      <c r="G82" t="str">
        <f>VLOOKUP(F82,M_SMP_CommonValues!D:E,2,FALSE)</f>
        <v>娯楽費</v>
      </c>
      <c r="H82" s="1">
        <v>500</v>
      </c>
      <c r="I82" t="s">
        <v>101</v>
      </c>
      <c r="K82" s="1" t="s">
        <v>105</v>
      </c>
      <c r="L82" s="1" t="s">
        <v>21</v>
      </c>
      <c r="M82" t="s">
        <v>23</v>
      </c>
      <c r="N82" s="1" t="s">
        <v>21</v>
      </c>
      <c r="O82" t="s">
        <v>23</v>
      </c>
      <c r="P82" s="1">
        <v>1</v>
      </c>
      <c r="Q82" s="1">
        <v>0</v>
      </c>
    </row>
    <row r="83" spans="1:17" x14ac:dyDescent="0.7">
      <c r="A83" t="s">
        <v>20</v>
      </c>
      <c r="C83" t="s">
        <v>140</v>
      </c>
      <c r="D83" s="1">
        <v>1</v>
      </c>
      <c r="E83" s="1">
        <v>302</v>
      </c>
      <c r="F83" s="1">
        <v>205</v>
      </c>
      <c r="G83" t="str">
        <f>VLOOKUP(F83,M_SMP_CommonValues!D:E,2,FALSE)</f>
        <v>娯楽費</v>
      </c>
      <c r="H83" s="1">
        <v>500</v>
      </c>
      <c r="I83" t="s">
        <v>101</v>
      </c>
      <c r="K83" s="1" t="s">
        <v>105</v>
      </c>
      <c r="L83" s="1" t="s">
        <v>21</v>
      </c>
      <c r="M83" t="s">
        <v>23</v>
      </c>
      <c r="N83" s="1" t="s">
        <v>21</v>
      </c>
      <c r="O83" t="s">
        <v>23</v>
      </c>
      <c r="P83" s="1">
        <v>1</v>
      </c>
      <c r="Q83" s="1">
        <v>0</v>
      </c>
    </row>
    <row r="84" spans="1:17" x14ac:dyDescent="0.7">
      <c r="A84" t="s">
        <v>20</v>
      </c>
      <c r="C84" t="s">
        <v>140</v>
      </c>
      <c r="D84" s="1">
        <v>1</v>
      </c>
      <c r="E84" s="1">
        <v>302</v>
      </c>
      <c r="F84" s="1">
        <v>205</v>
      </c>
      <c r="G84" t="str">
        <f>VLOOKUP(F84,M_SMP_CommonValues!D:E,2,FALSE)</f>
        <v>娯楽費</v>
      </c>
      <c r="H84" s="1">
        <v>500</v>
      </c>
      <c r="I84" t="s">
        <v>101</v>
      </c>
      <c r="K84" s="1" t="s">
        <v>105</v>
      </c>
      <c r="L84" s="1" t="s">
        <v>21</v>
      </c>
      <c r="M84" t="s">
        <v>23</v>
      </c>
      <c r="N84" s="1" t="s">
        <v>21</v>
      </c>
      <c r="O84" t="s">
        <v>23</v>
      </c>
      <c r="P84" s="1">
        <v>1</v>
      </c>
      <c r="Q84" s="1">
        <v>0</v>
      </c>
    </row>
    <row r="85" spans="1:17" x14ac:dyDescent="0.7">
      <c r="A85" t="s">
        <v>20</v>
      </c>
      <c r="C85" t="s">
        <v>140</v>
      </c>
      <c r="D85" s="1">
        <v>1</v>
      </c>
      <c r="E85" s="1">
        <v>302</v>
      </c>
      <c r="F85" s="1">
        <v>205</v>
      </c>
      <c r="G85" t="str">
        <f>VLOOKUP(F85,M_SMP_CommonValues!D:E,2,FALSE)</f>
        <v>娯楽費</v>
      </c>
      <c r="H85" s="1">
        <v>500</v>
      </c>
      <c r="I85" t="s">
        <v>101</v>
      </c>
      <c r="K85" s="1" t="s">
        <v>74</v>
      </c>
      <c r="L85" s="1" t="s">
        <v>21</v>
      </c>
      <c r="M85" t="s">
        <v>23</v>
      </c>
      <c r="N85" s="1" t="s">
        <v>21</v>
      </c>
      <c r="O85" t="s">
        <v>23</v>
      </c>
      <c r="P85" s="1">
        <v>1</v>
      </c>
      <c r="Q85" s="1">
        <v>0</v>
      </c>
    </row>
    <row r="86" spans="1:17" x14ac:dyDescent="0.7">
      <c r="A86" t="s">
        <v>20</v>
      </c>
      <c r="C86" t="s">
        <v>140</v>
      </c>
      <c r="D86" s="1">
        <v>1</v>
      </c>
      <c r="E86" s="1">
        <v>302</v>
      </c>
      <c r="F86" s="1">
        <v>205</v>
      </c>
      <c r="G86" t="str">
        <f>VLOOKUP(F86,M_SMP_CommonValues!D:E,2,FALSE)</f>
        <v>娯楽費</v>
      </c>
      <c r="H86" s="1">
        <v>500</v>
      </c>
      <c r="I86" t="s">
        <v>101</v>
      </c>
      <c r="K86" s="1" t="s">
        <v>74</v>
      </c>
      <c r="L86" s="1" t="s">
        <v>21</v>
      </c>
      <c r="M86" t="s">
        <v>23</v>
      </c>
      <c r="N86" s="1" t="s">
        <v>21</v>
      </c>
      <c r="O86" t="s">
        <v>23</v>
      </c>
      <c r="P86" s="1">
        <v>1</v>
      </c>
      <c r="Q86" s="1">
        <v>0</v>
      </c>
    </row>
    <row r="87" spans="1:17" x14ac:dyDescent="0.7">
      <c r="A87" t="s">
        <v>20</v>
      </c>
      <c r="C87" t="s">
        <v>140</v>
      </c>
      <c r="D87" s="1">
        <v>1</v>
      </c>
      <c r="E87" s="1">
        <v>302</v>
      </c>
      <c r="F87" s="1">
        <v>205</v>
      </c>
      <c r="G87" t="str">
        <f>VLOOKUP(F87,M_SMP_CommonValues!D:E,2,FALSE)</f>
        <v>娯楽費</v>
      </c>
      <c r="H87" s="1">
        <v>500</v>
      </c>
      <c r="I87" t="s">
        <v>101</v>
      </c>
      <c r="K87" s="1" t="s">
        <v>106</v>
      </c>
      <c r="L87" s="1" t="s">
        <v>21</v>
      </c>
      <c r="M87" t="s">
        <v>23</v>
      </c>
      <c r="N87" s="1" t="s">
        <v>21</v>
      </c>
      <c r="O87" t="s">
        <v>23</v>
      </c>
      <c r="P87" s="1">
        <v>1</v>
      </c>
      <c r="Q87" s="1">
        <v>0</v>
      </c>
    </row>
    <row r="88" spans="1:17" x14ac:dyDescent="0.7">
      <c r="A88" t="s">
        <v>20</v>
      </c>
      <c r="C88" t="s">
        <v>140</v>
      </c>
      <c r="D88" s="1">
        <v>1</v>
      </c>
      <c r="E88" s="1">
        <v>302</v>
      </c>
      <c r="F88" s="1">
        <v>205</v>
      </c>
      <c r="G88" t="str">
        <f>VLOOKUP(F88,M_SMP_CommonValues!D:E,2,FALSE)</f>
        <v>娯楽費</v>
      </c>
      <c r="H88" s="1">
        <v>500</v>
      </c>
      <c r="I88" t="s">
        <v>101</v>
      </c>
      <c r="K88" s="1" t="s">
        <v>106</v>
      </c>
      <c r="L88" s="1" t="s">
        <v>21</v>
      </c>
      <c r="M88" t="s">
        <v>23</v>
      </c>
      <c r="N88" s="1" t="s">
        <v>21</v>
      </c>
      <c r="O88" t="s">
        <v>23</v>
      </c>
      <c r="P88" s="1">
        <v>1</v>
      </c>
      <c r="Q88" s="1">
        <v>0</v>
      </c>
    </row>
    <row r="89" spans="1:17" x14ac:dyDescent="0.7">
      <c r="A89" t="s">
        <v>20</v>
      </c>
      <c r="C89" t="s">
        <v>140</v>
      </c>
      <c r="D89" s="1">
        <v>1</v>
      </c>
      <c r="E89" s="1">
        <v>302</v>
      </c>
      <c r="F89" s="1">
        <v>205</v>
      </c>
      <c r="G89" t="str">
        <f>VLOOKUP(F89,M_SMP_CommonValues!D:E,2,FALSE)</f>
        <v>娯楽費</v>
      </c>
      <c r="H89" s="1">
        <v>500</v>
      </c>
      <c r="I89" t="s">
        <v>101</v>
      </c>
      <c r="K89" s="1" t="s">
        <v>107</v>
      </c>
      <c r="L89" s="1" t="s">
        <v>21</v>
      </c>
      <c r="M89" t="s">
        <v>23</v>
      </c>
      <c r="N89" s="1" t="s">
        <v>21</v>
      </c>
      <c r="O89" t="s">
        <v>23</v>
      </c>
      <c r="P89" s="1">
        <v>1</v>
      </c>
      <c r="Q89" s="1">
        <v>0</v>
      </c>
    </row>
    <row r="90" spans="1:17" x14ac:dyDescent="0.7">
      <c r="A90" t="s">
        <v>20</v>
      </c>
      <c r="C90" t="s">
        <v>140</v>
      </c>
      <c r="D90" s="1">
        <v>1</v>
      </c>
      <c r="E90" s="1">
        <v>302</v>
      </c>
      <c r="F90" s="1">
        <v>205</v>
      </c>
      <c r="G90" t="str">
        <f>VLOOKUP(F90,M_SMP_CommonValues!D:E,2,FALSE)</f>
        <v>娯楽費</v>
      </c>
      <c r="H90" s="1">
        <v>500</v>
      </c>
      <c r="I90" t="s">
        <v>101</v>
      </c>
      <c r="K90" s="1" t="s">
        <v>108</v>
      </c>
      <c r="L90" s="1" t="s">
        <v>21</v>
      </c>
      <c r="M90" t="s">
        <v>23</v>
      </c>
      <c r="N90" s="1" t="s">
        <v>21</v>
      </c>
      <c r="O90" t="s">
        <v>23</v>
      </c>
      <c r="P90" s="1">
        <v>1</v>
      </c>
      <c r="Q90" s="1">
        <v>0</v>
      </c>
    </row>
    <row r="91" spans="1:17" x14ac:dyDescent="0.7">
      <c r="A91" t="s">
        <v>20</v>
      </c>
      <c r="C91" t="s">
        <v>140</v>
      </c>
      <c r="D91" s="1">
        <v>1</v>
      </c>
      <c r="E91" s="1">
        <v>302</v>
      </c>
      <c r="F91" s="1">
        <v>205</v>
      </c>
      <c r="G91" t="str">
        <f>VLOOKUP(F91,M_SMP_CommonValues!D:E,2,FALSE)</f>
        <v>娯楽費</v>
      </c>
      <c r="H91" s="1">
        <v>500</v>
      </c>
      <c r="I91" t="s">
        <v>101</v>
      </c>
      <c r="K91" s="1" t="s">
        <v>109</v>
      </c>
      <c r="L91" s="1" t="s">
        <v>21</v>
      </c>
      <c r="M91" t="s">
        <v>23</v>
      </c>
      <c r="N91" s="1" t="s">
        <v>21</v>
      </c>
      <c r="O91" t="s">
        <v>23</v>
      </c>
      <c r="P91" s="1">
        <v>1</v>
      </c>
      <c r="Q91" s="1">
        <v>0</v>
      </c>
    </row>
    <row r="92" spans="1:17" x14ac:dyDescent="0.7">
      <c r="A92" t="s">
        <v>20</v>
      </c>
      <c r="C92" t="s">
        <v>140</v>
      </c>
      <c r="D92" s="1">
        <v>1</v>
      </c>
      <c r="E92" s="1">
        <v>302</v>
      </c>
      <c r="F92" s="1">
        <v>205</v>
      </c>
      <c r="G92" t="str">
        <f>VLOOKUP(F92,M_SMP_CommonValues!D:E,2,FALSE)</f>
        <v>娯楽費</v>
      </c>
      <c r="H92" s="1">
        <v>500</v>
      </c>
      <c r="I92" t="s">
        <v>101</v>
      </c>
      <c r="K92" s="1" t="s">
        <v>110</v>
      </c>
      <c r="L92" s="1" t="s">
        <v>21</v>
      </c>
      <c r="M92" t="s">
        <v>23</v>
      </c>
      <c r="N92" s="1" t="s">
        <v>21</v>
      </c>
      <c r="O92" t="s">
        <v>23</v>
      </c>
      <c r="P92" s="1">
        <v>1</v>
      </c>
      <c r="Q92" s="1">
        <v>0</v>
      </c>
    </row>
    <row r="93" spans="1:17" x14ac:dyDescent="0.7">
      <c r="A93" t="s">
        <v>20</v>
      </c>
      <c r="C93" t="s">
        <v>140</v>
      </c>
      <c r="D93" s="1">
        <v>1</v>
      </c>
      <c r="E93" s="1">
        <v>302</v>
      </c>
      <c r="F93" s="1">
        <v>205</v>
      </c>
      <c r="G93" t="str">
        <f>VLOOKUP(F93,M_SMP_CommonValues!D:E,2,FALSE)</f>
        <v>娯楽費</v>
      </c>
      <c r="H93" s="1">
        <v>500</v>
      </c>
      <c r="I93" t="s">
        <v>101</v>
      </c>
      <c r="K93" s="1" t="s">
        <v>110</v>
      </c>
      <c r="L93" s="1" t="s">
        <v>21</v>
      </c>
      <c r="M93" t="s">
        <v>23</v>
      </c>
      <c r="N93" s="1" t="s">
        <v>21</v>
      </c>
      <c r="O93" t="s">
        <v>23</v>
      </c>
      <c r="P93" s="1">
        <v>1</v>
      </c>
      <c r="Q93" s="1">
        <v>0</v>
      </c>
    </row>
    <row r="94" spans="1:17" x14ac:dyDescent="0.7">
      <c r="A94" t="s">
        <v>20</v>
      </c>
      <c r="C94" t="s">
        <v>140</v>
      </c>
      <c r="D94" s="1">
        <v>1</v>
      </c>
      <c r="E94" s="1">
        <v>302</v>
      </c>
      <c r="F94" s="1">
        <v>205</v>
      </c>
      <c r="G94" t="str">
        <f>VLOOKUP(F94,M_SMP_CommonValues!D:E,2,FALSE)</f>
        <v>娯楽費</v>
      </c>
      <c r="H94" s="1">
        <v>500</v>
      </c>
      <c r="I94" t="s">
        <v>101</v>
      </c>
      <c r="K94" s="1" t="s">
        <v>110</v>
      </c>
      <c r="L94" s="1" t="s">
        <v>21</v>
      </c>
      <c r="M94" t="s">
        <v>23</v>
      </c>
      <c r="N94" s="1" t="s">
        <v>21</v>
      </c>
      <c r="O94" t="s">
        <v>23</v>
      </c>
      <c r="P94" s="1">
        <v>1</v>
      </c>
      <c r="Q94" s="1">
        <v>0</v>
      </c>
    </row>
    <row r="95" spans="1:17" x14ac:dyDescent="0.7">
      <c r="A95" t="s">
        <v>20</v>
      </c>
      <c r="C95" t="s">
        <v>140</v>
      </c>
      <c r="D95" s="1">
        <v>1</v>
      </c>
      <c r="E95" s="1">
        <v>302</v>
      </c>
      <c r="F95" s="1">
        <v>205</v>
      </c>
      <c r="G95" t="str">
        <f>VLOOKUP(F95,M_SMP_CommonValues!D:E,2,FALSE)</f>
        <v>娯楽費</v>
      </c>
      <c r="H95" s="1">
        <v>500</v>
      </c>
      <c r="I95" t="s">
        <v>101</v>
      </c>
      <c r="K95" s="1" t="s">
        <v>87</v>
      </c>
      <c r="L95" s="1" t="s">
        <v>21</v>
      </c>
      <c r="M95" t="s">
        <v>23</v>
      </c>
      <c r="N95" s="1" t="s">
        <v>21</v>
      </c>
      <c r="O95" t="s">
        <v>23</v>
      </c>
      <c r="P95" s="1">
        <v>1</v>
      </c>
      <c r="Q95" s="1">
        <v>0</v>
      </c>
    </row>
    <row r="96" spans="1:17" x14ac:dyDescent="0.7">
      <c r="A96" t="s">
        <v>20</v>
      </c>
      <c r="C96" t="s">
        <v>140</v>
      </c>
      <c r="D96" s="1">
        <v>1</v>
      </c>
      <c r="E96" s="1">
        <v>302</v>
      </c>
      <c r="F96" s="1">
        <v>205</v>
      </c>
      <c r="G96" t="str">
        <f>VLOOKUP(F96,M_SMP_CommonValues!D:E,2,FALSE)</f>
        <v>娯楽費</v>
      </c>
      <c r="H96" s="1">
        <v>500</v>
      </c>
      <c r="I96" t="s">
        <v>101</v>
      </c>
      <c r="K96" s="1" t="s">
        <v>111</v>
      </c>
      <c r="L96" s="1" t="s">
        <v>21</v>
      </c>
      <c r="M96" t="s">
        <v>23</v>
      </c>
      <c r="N96" s="1" t="s">
        <v>21</v>
      </c>
      <c r="O96" t="s">
        <v>23</v>
      </c>
      <c r="P96" s="1">
        <v>1</v>
      </c>
      <c r="Q96" s="1">
        <v>0</v>
      </c>
    </row>
    <row r="97" spans="1:17" x14ac:dyDescent="0.7">
      <c r="A97" t="s">
        <v>20</v>
      </c>
      <c r="C97" t="s">
        <v>140</v>
      </c>
      <c r="D97" s="1">
        <v>1</v>
      </c>
      <c r="E97" s="1">
        <v>302</v>
      </c>
      <c r="F97" s="1">
        <v>205</v>
      </c>
      <c r="G97" t="str">
        <f>VLOOKUP(F97,M_SMP_CommonValues!D:E,2,FALSE)</f>
        <v>娯楽費</v>
      </c>
      <c r="H97" s="1">
        <v>500</v>
      </c>
      <c r="I97" t="s">
        <v>101</v>
      </c>
      <c r="K97" s="1" t="s">
        <v>112</v>
      </c>
      <c r="L97" s="1" t="s">
        <v>21</v>
      </c>
      <c r="M97" t="s">
        <v>23</v>
      </c>
      <c r="N97" s="1" t="s">
        <v>21</v>
      </c>
      <c r="O97" t="s">
        <v>23</v>
      </c>
      <c r="P97" s="1">
        <v>1</v>
      </c>
      <c r="Q97" s="1">
        <v>0</v>
      </c>
    </row>
    <row r="98" spans="1:17" x14ac:dyDescent="0.7">
      <c r="A98" t="s">
        <v>20</v>
      </c>
      <c r="C98" t="s">
        <v>140</v>
      </c>
      <c r="D98" s="1">
        <v>1</v>
      </c>
      <c r="E98" s="1">
        <v>302</v>
      </c>
      <c r="F98" s="1">
        <v>205</v>
      </c>
      <c r="G98" t="str">
        <f>VLOOKUP(F98,M_SMP_CommonValues!D:E,2,FALSE)</f>
        <v>娯楽費</v>
      </c>
      <c r="H98" s="1">
        <v>500</v>
      </c>
      <c r="I98" t="s">
        <v>101</v>
      </c>
      <c r="K98" s="1" t="s">
        <v>113</v>
      </c>
      <c r="L98" s="1" t="s">
        <v>21</v>
      </c>
      <c r="M98" t="s">
        <v>23</v>
      </c>
      <c r="N98" s="1" t="s">
        <v>21</v>
      </c>
      <c r="O98" t="s">
        <v>23</v>
      </c>
      <c r="P98" s="1">
        <v>1</v>
      </c>
      <c r="Q98" s="1">
        <v>0</v>
      </c>
    </row>
    <row r="99" spans="1:17" x14ac:dyDescent="0.7">
      <c r="A99" t="s">
        <v>20</v>
      </c>
      <c r="C99" t="s">
        <v>140</v>
      </c>
      <c r="D99" s="1">
        <v>1</v>
      </c>
      <c r="E99" s="1">
        <v>302</v>
      </c>
      <c r="F99" s="1">
        <v>205</v>
      </c>
      <c r="G99" t="str">
        <f>VLOOKUP(F99,M_SMP_CommonValues!D:E,2,FALSE)</f>
        <v>娯楽費</v>
      </c>
      <c r="H99" s="1">
        <v>500</v>
      </c>
      <c r="I99" t="s">
        <v>101</v>
      </c>
      <c r="K99" s="1" t="s">
        <v>113</v>
      </c>
      <c r="L99" s="1" t="s">
        <v>21</v>
      </c>
      <c r="M99" t="s">
        <v>23</v>
      </c>
      <c r="N99" s="1" t="s">
        <v>21</v>
      </c>
      <c r="O99" t="s">
        <v>23</v>
      </c>
      <c r="P99" s="1">
        <v>1</v>
      </c>
      <c r="Q99" s="1">
        <v>0</v>
      </c>
    </row>
    <row r="100" spans="1:17" x14ac:dyDescent="0.7">
      <c r="A100" t="s">
        <v>20</v>
      </c>
      <c r="C100" t="s">
        <v>140</v>
      </c>
      <c r="D100" s="1">
        <v>1</v>
      </c>
      <c r="E100" s="1">
        <v>302</v>
      </c>
      <c r="F100" s="1">
        <v>205</v>
      </c>
      <c r="G100" t="str">
        <f>VLOOKUP(F100,M_SMP_CommonValues!D:E,2,FALSE)</f>
        <v>娯楽費</v>
      </c>
      <c r="H100" s="1">
        <v>500</v>
      </c>
      <c r="I100" t="s">
        <v>101</v>
      </c>
      <c r="K100" s="1" t="s">
        <v>114</v>
      </c>
      <c r="L100" s="1" t="s">
        <v>21</v>
      </c>
      <c r="M100" t="s">
        <v>23</v>
      </c>
      <c r="N100" s="1" t="s">
        <v>21</v>
      </c>
      <c r="O100" t="s">
        <v>23</v>
      </c>
      <c r="P100" s="1">
        <v>1</v>
      </c>
      <c r="Q100" s="1">
        <v>0</v>
      </c>
    </row>
    <row r="101" spans="1:17" x14ac:dyDescent="0.7">
      <c r="A101" t="s">
        <v>20</v>
      </c>
      <c r="C101" t="s">
        <v>140</v>
      </c>
      <c r="D101" s="1">
        <v>1</v>
      </c>
      <c r="E101" s="1">
        <v>302</v>
      </c>
      <c r="F101" s="1">
        <v>205</v>
      </c>
      <c r="G101" t="str">
        <f>VLOOKUP(F101,M_SMP_CommonValues!D:E,2,FALSE)</f>
        <v>娯楽費</v>
      </c>
      <c r="H101" s="1">
        <v>500</v>
      </c>
      <c r="I101" t="s">
        <v>101</v>
      </c>
      <c r="K101" s="1" t="s">
        <v>114</v>
      </c>
      <c r="L101" s="1" t="s">
        <v>21</v>
      </c>
      <c r="M101" t="s">
        <v>23</v>
      </c>
      <c r="N101" s="1" t="s">
        <v>21</v>
      </c>
      <c r="O101" t="s">
        <v>23</v>
      </c>
      <c r="P101" s="1">
        <v>1</v>
      </c>
      <c r="Q101" s="1">
        <v>0</v>
      </c>
    </row>
    <row r="102" spans="1:17" x14ac:dyDescent="0.7">
      <c r="A102" t="s">
        <v>20</v>
      </c>
      <c r="C102" t="s">
        <v>140</v>
      </c>
      <c r="D102" s="1">
        <v>1</v>
      </c>
      <c r="E102" s="1">
        <v>302</v>
      </c>
      <c r="F102" s="1">
        <v>205</v>
      </c>
      <c r="G102" t="str">
        <f>VLOOKUP(F102,M_SMP_CommonValues!D:E,2,FALSE)</f>
        <v>娯楽費</v>
      </c>
      <c r="H102" s="1">
        <v>500</v>
      </c>
      <c r="I102" t="s">
        <v>101</v>
      </c>
      <c r="K102" s="1" t="s">
        <v>114</v>
      </c>
      <c r="L102" s="1" t="s">
        <v>21</v>
      </c>
      <c r="M102" t="s">
        <v>23</v>
      </c>
      <c r="N102" s="1" t="s">
        <v>21</v>
      </c>
      <c r="O102" t="s">
        <v>23</v>
      </c>
      <c r="P102" s="1">
        <v>1</v>
      </c>
      <c r="Q102" s="1">
        <v>0</v>
      </c>
    </row>
    <row r="103" spans="1:17" x14ac:dyDescent="0.7">
      <c r="A103" t="s">
        <v>20</v>
      </c>
      <c r="C103" t="s">
        <v>140</v>
      </c>
      <c r="D103" s="1">
        <v>1</v>
      </c>
      <c r="E103" s="1">
        <v>302</v>
      </c>
      <c r="F103" s="1">
        <v>205</v>
      </c>
      <c r="G103" t="str">
        <f>VLOOKUP(F103,M_SMP_CommonValues!D:E,2,FALSE)</f>
        <v>娯楽費</v>
      </c>
      <c r="H103" s="1">
        <v>500</v>
      </c>
      <c r="I103" t="s">
        <v>101</v>
      </c>
      <c r="K103" s="1" t="s">
        <v>114</v>
      </c>
      <c r="L103" s="1" t="s">
        <v>21</v>
      </c>
      <c r="M103" t="s">
        <v>23</v>
      </c>
      <c r="N103" s="1" t="s">
        <v>21</v>
      </c>
      <c r="O103" t="s">
        <v>23</v>
      </c>
      <c r="P103" s="1">
        <v>1</v>
      </c>
      <c r="Q103" s="1">
        <v>0</v>
      </c>
    </row>
    <row r="104" spans="1:17" x14ac:dyDescent="0.7">
      <c r="A104" t="s">
        <v>20</v>
      </c>
      <c r="C104" t="s">
        <v>140</v>
      </c>
      <c r="D104" s="1">
        <v>1</v>
      </c>
      <c r="E104" s="1">
        <v>302</v>
      </c>
      <c r="F104" s="1">
        <v>205</v>
      </c>
      <c r="G104" t="str">
        <f>VLOOKUP(F104,M_SMP_CommonValues!D:E,2,FALSE)</f>
        <v>娯楽費</v>
      </c>
      <c r="H104" s="1">
        <v>500</v>
      </c>
      <c r="I104" t="s">
        <v>101</v>
      </c>
      <c r="K104" s="1" t="s">
        <v>114</v>
      </c>
      <c r="L104" s="1" t="s">
        <v>21</v>
      </c>
      <c r="M104" t="s">
        <v>23</v>
      </c>
      <c r="N104" s="1" t="s">
        <v>21</v>
      </c>
      <c r="O104" t="s">
        <v>23</v>
      </c>
      <c r="P104" s="1">
        <v>1</v>
      </c>
      <c r="Q104" s="1">
        <v>0</v>
      </c>
    </row>
    <row r="105" spans="1:17" x14ac:dyDescent="0.7">
      <c r="A105" t="s">
        <v>20</v>
      </c>
      <c r="C105" t="s">
        <v>140</v>
      </c>
      <c r="D105" s="1">
        <v>1</v>
      </c>
      <c r="E105" s="1">
        <v>302</v>
      </c>
      <c r="F105" s="1">
        <v>205</v>
      </c>
      <c r="G105" t="str">
        <f>VLOOKUP(F105,M_SMP_CommonValues!D:E,2,FALSE)</f>
        <v>娯楽費</v>
      </c>
      <c r="H105" s="1">
        <v>500</v>
      </c>
      <c r="I105" t="s">
        <v>101</v>
      </c>
      <c r="K105" s="1" t="s">
        <v>115</v>
      </c>
      <c r="L105" s="1" t="s">
        <v>21</v>
      </c>
      <c r="M105" t="s">
        <v>23</v>
      </c>
      <c r="N105" s="1" t="s">
        <v>21</v>
      </c>
      <c r="O105" t="s">
        <v>23</v>
      </c>
      <c r="P105" s="1">
        <v>1</v>
      </c>
      <c r="Q105" s="1">
        <v>0</v>
      </c>
    </row>
    <row r="106" spans="1:17" x14ac:dyDescent="0.7">
      <c r="A106" t="s">
        <v>20</v>
      </c>
      <c r="C106" t="s">
        <v>140</v>
      </c>
      <c r="D106" s="1">
        <v>1</v>
      </c>
      <c r="E106" s="1">
        <v>302</v>
      </c>
      <c r="F106" s="1">
        <v>205</v>
      </c>
      <c r="G106" t="str">
        <f>VLOOKUP(F106,M_SMP_CommonValues!D:E,2,FALSE)</f>
        <v>娯楽費</v>
      </c>
      <c r="H106" s="1">
        <v>500</v>
      </c>
      <c r="I106" t="s">
        <v>101</v>
      </c>
      <c r="K106" s="1" t="s">
        <v>116</v>
      </c>
      <c r="L106" s="1" t="s">
        <v>21</v>
      </c>
      <c r="M106" t="s">
        <v>23</v>
      </c>
      <c r="N106" s="1" t="s">
        <v>21</v>
      </c>
      <c r="O106" t="s">
        <v>23</v>
      </c>
      <c r="P106" s="1">
        <v>1</v>
      </c>
      <c r="Q106" s="1">
        <v>0</v>
      </c>
    </row>
    <row r="107" spans="1:17" x14ac:dyDescent="0.7">
      <c r="A107" t="s">
        <v>20</v>
      </c>
      <c r="C107" t="s">
        <v>140</v>
      </c>
      <c r="D107" s="1">
        <v>1</v>
      </c>
      <c r="E107" s="1">
        <v>302</v>
      </c>
      <c r="F107" s="1">
        <v>205</v>
      </c>
      <c r="G107" t="str">
        <f>VLOOKUP(F107,M_SMP_CommonValues!D:E,2,FALSE)</f>
        <v>娯楽費</v>
      </c>
      <c r="H107" s="1">
        <v>500</v>
      </c>
      <c r="I107" t="s">
        <v>101</v>
      </c>
      <c r="K107" s="1" t="s">
        <v>116</v>
      </c>
      <c r="L107" s="1" t="s">
        <v>21</v>
      </c>
      <c r="M107" t="s">
        <v>23</v>
      </c>
      <c r="N107" s="1" t="s">
        <v>21</v>
      </c>
      <c r="O107" t="s">
        <v>23</v>
      </c>
      <c r="P107" s="1">
        <v>1</v>
      </c>
      <c r="Q107" s="1">
        <v>0</v>
      </c>
    </row>
    <row r="108" spans="1:17" x14ac:dyDescent="0.7">
      <c r="A108" t="s">
        <v>20</v>
      </c>
      <c r="C108" t="s">
        <v>140</v>
      </c>
      <c r="D108" s="1">
        <v>1</v>
      </c>
      <c r="E108" s="1">
        <v>302</v>
      </c>
      <c r="F108" s="1">
        <v>205</v>
      </c>
      <c r="G108" t="str">
        <f>VLOOKUP(F108,M_SMP_CommonValues!D:E,2,FALSE)</f>
        <v>娯楽費</v>
      </c>
      <c r="H108" s="1">
        <v>500</v>
      </c>
      <c r="I108" t="s">
        <v>101</v>
      </c>
      <c r="K108" s="1" t="s">
        <v>117</v>
      </c>
      <c r="L108" s="1" t="s">
        <v>21</v>
      </c>
      <c r="M108" t="s">
        <v>23</v>
      </c>
      <c r="N108" s="1" t="s">
        <v>21</v>
      </c>
      <c r="O108" t="s">
        <v>23</v>
      </c>
      <c r="P108" s="1">
        <v>1</v>
      </c>
      <c r="Q108" s="1">
        <v>0</v>
      </c>
    </row>
    <row r="109" spans="1:17" x14ac:dyDescent="0.7">
      <c r="A109" t="s">
        <v>20</v>
      </c>
      <c r="C109" t="s">
        <v>140</v>
      </c>
      <c r="D109" s="1">
        <v>1</v>
      </c>
      <c r="E109" s="1">
        <v>302</v>
      </c>
      <c r="F109" s="1">
        <v>205</v>
      </c>
      <c r="G109" t="str">
        <f>VLOOKUP(F109,M_SMP_CommonValues!D:E,2,FALSE)</f>
        <v>娯楽費</v>
      </c>
      <c r="H109" s="1">
        <v>500</v>
      </c>
      <c r="I109" t="s">
        <v>101</v>
      </c>
      <c r="K109" s="1" t="s">
        <v>117</v>
      </c>
      <c r="L109" s="1" t="s">
        <v>21</v>
      </c>
      <c r="M109" t="s">
        <v>23</v>
      </c>
      <c r="N109" s="1" t="s">
        <v>21</v>
      </c>
      <c r="O109" t="s">
        <v>23</v>
      </c>
      <c r="P109" s="1">
        <v>1</v>
      </c>
      <c r="Q109" s="1">
        <v>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D0D0C-D9DD-480F-A20F-7EC75C990978}">
  <sheetPr codeName="Sheet3"/>
  <dimension ref="A1:N22"/>
  <sheetViews>
    <sheetView workbookViewId="0">
      <selection activeCell="L5" sqref="L5:L21"/>
    </sheetView>
  </sheetViews>
  <sheetFormatPr defaultRowHeight="17.649999999999999" x14ac:dyDescent="0.7"/>
  <cols>
    <col min="1" max="1" width="10.0625" bestFit="1" customWidth="1"/>
    <col min="2" max="2" width="14.375" bestFit="1" customWidth="1"/>
    <col min="3" max="3" width="6.875" bestFit="1" customWidth="1"/>
    <col min="5" max="5" width="12" bestFit="1" customWidth="1"/>
    <col min="6" max="9" width="13.125" bestFit="1" customWidth="1"/>
    <col min="10" max="10" width="7.6875" bestFit="1" customWidth="1"/>
    <col min="11" max="11" width="8.125" bestFit="1" customWidth="1"/>
    <col min="12" max="14" width="9" style="5"/>
  </cols>
  <sheetData>
    <row r="1" spans="1:14" x14ac:dyDescent="0.7">
      <c r="B1" s="3" t="s">
        <v>24</v>
      </c>
      <c r="C1" s="3" t="s">
        <v>139</v>
      </c>
      <c r="D1" s="3" t="s">
        <v>42</v>
      </c>
      <c r="E1" s="3" t="s">
        <v>25</v>
      </c>
      <c r="F1" s="3" t="s">
        <v>12</v>
      </c>
      <c r="G1" s="3" t="s">
        <v>13</v>
      </c>
      <c r="H1" s="3" t="s">
        <v>16</v>
      </c>
      <c r="I1" s="3" t="s">
        <v>17</v>
      </c>
      <c r="J1" s="3" t="s">
        <v>18</v>
      </c>
      <c r="K1" s="3" t="s">
        <v>122</v>
      </c>
    </row>
    <row r="2" spans="1:14" x14ac:dyDescent="0.7">
      <c r="B2" s="3" t="s">
        <v>39</v>
      </c>
      <c r="C2" s="3"/>
      <c r="D2" s="3" t="s">
        <v>39</v>
      </c>
      <c r="E2" s="3"/>
      <c r="F2" s="3"/>
      <c r="G2" s="3"/>
      <c r="H2" s="3"/>
      <c r="I2" s="3"/>
      <c r="J2" s="3"/>
      <c r="K2" s="3"/>
      <c r="L2" s="5" t="s">
        <v>147</v>
      </c>
    </row>
    <row r="3" spans="1:14" x14ac:dyDescent="0.7">
      <c r="B3" s="3" t="s">
        <v>3</v>
      </c>
      <c r="C3" s="3"/>
      <c r="D3" s="3" t="s">
        <v>3</v>
      </c>
      <c r="E3" s="3" t="s">
        <v>6</v>
      </c>
      <c r="F3" s="3" t="s">
        <v>15</v>
      </c>
      <c r="G3" s="3" t="s">
        <v>14</v>
      </c>
      <c r="H3" s="3" t="s">
        <v>15</v>
      </c>
      <c r="I3" s="3" t="s">
        <v>14</v>
      </c>
      <c r="J3" s="3" t="s">
        <v>3</v>
      </c>
      <c r="K3" s="3" t="s">
        <v>3</v>
      </c>
    </row>
    <row r="4" spans="1:14" x14ac:dyDescent="0.7">
      <c r="A4" s="4" t="s">
        <v>19</v>
      </c>
      <c r="B4" s="3" t="s">
        <v>24</v>
      </c>
      <c r="C4" s="3"/>
      <c r="D4" s="3" t="s">
        <v>146</v>
      </c>
      <c r="E4" s="3" t="s">
        <v>25</v>
      </c>
      <c r="F4" s="3" t="s">
        <v>12</v>
      </c>
      <c r="G4" s="3" t="s">
        <v>13</v>
      </c>
      <c r="H4" s="3" t="s">
        <v>16</v>
      </c>
      <c r="I4" s="3" t="s">
        <v>17</v>
      </c>
      <c r="J4" s="3" t="s">
        <v>18</v>
      </c>
      <c r="K4" s="3" t="s">
        <v>122</v>
      </c>
    </row>
    <row r="5" spans="1:14" x14ac:dyDescent="0.7">
      <c r="A5" t="s">
        <v>20</v>
      </c>
      <c r="B5" s="1">
        <v>301</v>
      </c>
      <c r="C5" t="s">
        <v>140</v>
      </c>
      <c r="D5" s="1">
        <v>101</v>
      </c>
      <c r="E5" t="s">
        <v>26</v>
      </c>
      <c r="F5" s="1" t="s">
        <v>21</v>
      </c>
      <c r="G5" t="s">
        <v>23</v>
      </c>
      <c r="H5" s="1" t="s">
        <v>21</v>
      </c>
      <c r="I5" t="s">
        <v>23</v>
      </c>
      <c r="J5" s="1">
        <v>1</v>
      </c>
      <c r="K5" s="1">
        <v>0</v>
      </c>
      <c r="L5" s="5" t="s">
        <v>149</v>
      </c>
      <c r="M5" s="5" t="s">
        <v>150</v>
      </c>
      <c r="N5" s="5" t="s">
        <v>151</v>
      </c>
    </row>
    <row r="6" spans="1:14" x14ac:dyDescent="0.7">
      <c r="A6" t="s">
        <v>20</v>
      </c>
      <c r="B6" s="1">
        <v>301</v>
      </c>
      <c r="C6" t="s">
        <v>140</v>
      </c>
      <c r="D6" s="1">
        <v>102</v>
      </c>
      <c r="E6" t="s">
        <v>27</v>
      </c>
      <c r="F6" s="1" t="s">
        <v>21</v>
      </c>
      <c r="G6" t="s">
        <v>23</v>
      </c>
      <c r="H6" s="1" t="s">
        <v>21</v>
      </c>
      <c r="I6" t="s">
        <v>23</v>
      </c>
      <c r="J6" s="1">
        <v>1</v>
      </c>
      <c r="K6" s="1">
        <v>0</v>
      </c>
      <c r="L6" s="5" t="s">
        <v>152</v>
      </c>
      <c r="M6" s="5" t="s">
        <v>153</v>
      </c>
      <c r="N6" s="5" t="s">
        <v>154</v>
      </c>
    </row>
    <row r="7" spans="1:14" x14ac:dyDescent="0.7">
      <c r="A7" t="s">
        <v>20</v>
      </c>
      <c r="B7" s="1">
        <v>301</v>
      </c>
      <c r="C7" t="s">
        <v>140</v>
      </c>
      <c r="D7" s="1">
        <v>103</v>
      </c>
      <c r="E7" t="s">
        <v>28</v>
      </c>
      <c r="F7" s="1" t="s">
        <v>21</v>
      </c>
      <c r="G7" t="s">
        <v>23</v>
      </c>
      <c r="H7" s="1" t="s">
        <v>21</v>
      </c>
      <c r="I7" t="s">
        <v>23</v>
      </c>
      <c r="J7" s="1">
        <v>1</v>
      </c>
      <c r="K7" s="1">
        <v>0</v>
      </c>
      <c r="L7" s="5" t="s">
        <v>155</v>
      </c>
      <c r="M7" s="5" t="s">
        <v>156</v>
      </c>
      <c r="N7" s="5" t="s">
        <v>157</v>
      </c>
    </row>
    <row r="8" spans="1:14" x14ac:dyDescent="0.7">
      <c r="A8" t="s">
        <v>20</v>
      </c>
      <c r="B8" s="1">
        <v>302</v>
      </c>
      <c r="C8" t="s">
        <v>140</v>
      </c>
      <c r="D8" s="1">
        <v>201</v>
      </c>
      <c r="E8" t="s">
        <v>29</v>
      </c>
      <c r="F8" s="1" t="s">
        <v>21</v>
      </c>
      <c r="G8" t="s">
        <v>23</v>
      </c>
      <c r="H8" s="1" t="s">
        <v>21</v>
      </c>
      <c r="I8" t="s">
        <v>23</v>
      </c>
      <c r="J8" s="1">
        <v>1</v>
      </c>
      <c r="K8" s="1">
        <v>0</v>
      </c>
      <c r="L8" s="5" t="s">
        <v>158</v>
      </c>
      <c r="M8" s="5" t="s">
        <v>159</v>
      </c>
      <c r="N8" s="5" t="s">
        <v>160</v>
      </c>
    </row>
    <row r="9" spans="1:14" x14ac:dyDescent="0.7">
      <c r="A9" t="s">
        <v>20</v>
      </c>
      <c r="B9" s="1">
        <v>302</v>
      </c>
      <c r="C9" t="s">
        <v>140</v>
      </c>
      <c r="D9" s="1">
        <v>202</v>
      </c>
      <c r="E9" t="s">
        <v>30</v>
      </c>
      <c r="F9" s="1" t="s">
        <v>21</v>
      </c>
      <c r="G9" t="s">
        <v>23</v>
      </c>
      <c r="H9" s="1" t="s">
        <v>21</v>
      </c>
      <c r="I9" t="s">
        <v>23</v>
      </c>
      <c r="J9" s="1">
        <v>1</v>
      </c>
      <c r="K9" s="1">
        <v>0</v>
      </c>
      <c r="L9" s="5" t="s">
        <v>161</v>
      </c>
      <c r="M9" s="5" t="s">
        <v>162</v>
      </c>
      <c r="N9" s="5" t="s">
        <v>163</v>
      </c>
    </row>
    <row r="10" spans="1:14" x14ac:dyDescent="0.7">
      <c r="A10" t="s">
        <v>20</v>
      </c>
      <c r="B10" s="1">
        <v>302</v>
      </c>
      <c r="C10" t="s">
        <v>140</v>
      </c>
      <c r="D10" s="1">
        <v>203</v>
      </c>
      <c r="E10" t="s">
        <v>31</v>
      </c>
      <c r="F10" s="1" t="s">
        <v>21</v>
      </c>
      <c r="G10" t="s">
        <v>23</v>
      </c>
      <c r="H10" s="1" t="s">
        <v>21</v>
      </c>
      <c r="I10" t="s">
        <v>23</v>
      </c>
      <c r="J10" s="1">
        <v>1</v>
      </c>
      <c r="K10" s="1">
        <v>0</v>
      </c>
      <c r="L10" s="5" t="s">
        <v>164</v>
      </c>
      <c r="M10" s="5" t="s">
        <v>165</v>
      </c>
      <c r="N10" s="5" t="s">
        <v>166</v>
      </c>
    </row>
    <row r="11" spans="1:14" x14ac:dyDescent="0.7">
      <c r="A11" t="s">
        <v>20</v>
      </c>
      <c r="B11" s="1">
        <v>302</v>
      </c>
      <c r="C11" t="s">
        <v>140</v>
      </c>
      <c r="D11" s="1">
        <v>204</v>
      </c>
      <c r="E11" t="s">
        <v>99</v>
      </c>
      <c r="F11" s="1" t="s">
        <v>21</v>
      </c>
      <c r="G11" t="s">
        <v>23</v>
      </c>
      <c r="H11" s="1" t="s">
        <v>21</v>
      </c>
      <c r="I11" t="s">
        <v>23</v>
      </c>
      <c r="J11" s="1">
        <v>1</v>
      </c>
      <c r="K11" s="1">
        <v>0</v>
      </c>
      <c r="L11" s="5" t="s">
        <v>167</v>
      </c>
      <c r="M11" s="5" t="s">
        <v>168</v>
      </c>
      <c r="N11" s="5" t="s">
        <v>169</v>
      </c>
    </row>
    <row r="12" spans="1:14" x14ac:dyDescent="0.7">
      <c r="A12" t="s">
        <v>20</v>
      </c>
      <c r="B12" s="1">
        <v>302</v>
      </c>
      <c r="C12" t="s">
        <v>140</v>
      </c>
      <c r="D12" s="1">
        <v>205</v>
      </c>
      <c r="E12" t="s">
        <v>98</v>
      </c>
      <c r="F12" s="1" t="s">
        <v>21</v>
      </c>
      <c r="G12" t="s">
        <v>23</v>
      </c>
      <c r="H12" s="1" t="s">
        <v>21</v>
      </c>
      <c r="I12" t="s">
        <v>23</v>
      </c>
      <c r="J12" s="1">
        <v>1</v>
      </c>
      <c r="K12" s="1">
        <v>0</v>
      </c>
      <c r="L12" s="5" t="s">
        <v>170</v>
      </c>
      <c r="M12" s="5" t="s">
        <v>171</v>
      </c>
      <c r="N12" s="5" t="s">
        <v>172</v>
      </c>
    </row>
    <row r="13" spans="1:14" x14ac:dyDescent="0.7">
      <c r="A13" t="s">
        <v>20</v>
      </c>
      <c r="B13" s="1">
        <v>302</v>
      </c>
      <c r="C13" t="s">
        <v>140</v>
      </c>
      <c r="D13" s="1">
        <v>206</v>
      </c>
      <c r="E13" t="s">
        <v>32</v>
      </c>
      <c r="F13" s="1" t="s">
        <v>21</v>
      </c>
      <c r="G13" t="s">
        <v>23</v>
      </c>
      <c r="H13" s="1" t="s">
        <v>21</v>
      </c>
      <c r="I13" t="s">
        <v>23</v>
      </c>
      <c r="J13" s="1">
        <v>1</v>
      </c>
      <c r="K13" s="1">
        <v>0</v>
      </c>
      <c r="L13" s="5" t="s">
        <v>173</v>
      </c>
      <c r="M13" s="5" t="s">
        <v>174</v>
      </c>
      <c r="N13" s="5" t="s">
        <v>175</v>
      </c>
    </row>
    <row r="14" spans="1:14" x14ac:dyDescent="0.7">
      <c r="A14" t="s">
        <v>20</v>
      </c>
      <c r="B14" s="1">
        <v>302</v>
      </c>
      <c r="C14" t="s">
        <v>140</v>
      </c>
      <c r="D14" s="1">
        <v>207</v>
      </c>
      <c r="E14" t="s">
        <v>33</v>
      </c>
      <c r="F14" s="1" t="s">
        <v>21</v>
      </c>
      <c r="G14" t="s">
        <v>23</v>
      </c>
      <c r="H14" s="1" t="s">
        <v>21</v>
      </c>
      <c r="I14" t="s">
        <v>23</v>
      </c>
      <c r="J14" s="1">
        <v>1</v>
      </c>
      <c r="K14" s="1">
        <v>0</v>
      </c>
      <c r="L14" s="5" t="s">
        <v>176</v>
      </c>
      <c r="M14" s="5" t="s">
        <v>177</v>
      </c>
      <c r="N14" s="5" t="s">
        <v>178</v>
      </c>
    </row>
    <row r="15" spans="1:14" x14ac:dyDescent="0.7">
      <c r="A15" t="s">
        <v>20</v>
      </c>
      <c r="B15" s="1">
        <v>302</v>
      </c>
      <c r="C15" t="s">
        <v>140</v>
      </c>
      <c r="D15" s="1">
        <v>208</v>
      </c>
      <c r="E15" t="s">
        <v>34</v>
      </c>
      <c r="F15" s="1" t="s">
        <v>21</v>
      </c>
      <c r="G15" t="s">
        <v>23</v>
      </c>
      <c r="H15" s="1" t="s">
        <v>21</v>
      </c>
      <c r="I15" t="s">
        <v>23</v>
      </c>
      <c r="J15" s="1">
        <v>1</v>
      </c>
      <c r="K15" s="1">
        <v>0</v>
      </c>
      <c r="L15" s="5" t="s">
        <v>179</v>
      </c>
      <c r="M15" s="5" t="s">
        <v>180</v>
      </c>
      <c r="N15" s="5" t="s">
        <v>181</v>
      </c>
    </row>
    <row r="16" spans="1:14" x14ac:dyDescent="0.7">
      <c r="A16" t="s">
        <v>20</v>
      </c>
      <c r="B16" s="1">
        <v>302</v>
      </c>
      <c r="C16" t="s">
        <v>140</v>
      </c>
      <c r="D16" s="1">
        <v>209</v>
      </c>
      <c r="E16" t="s">
        <v>35</v>
      </c>
      <c r="F16" s="1" t="s">
        <v>21</v>
      </c>
      <c r="G16" t="s">
        <v>23</v>
      </c>
      <c r="H16" s="1" t="s">
        <v>21</v>
      </c>
      <c r="I16" t="s">
        <v>23</v>
      </c>
      <c r="J16" s="1">
        <v>1</v>
      </c>
      <c r="K16" s="1">
        <v>0</v>
      </c>
      <c r="L16" s="5" t="s">
        <v>182</v>
      </c>
      <c r="M16" s="5" t="s">
        <v>183</v>
      </c>
      <c r="N16" s="5" t="s">
        <v>184</v>
      </c>
    </row>
    <row r="17" spans="1:14" x14ac:dyDescent="0.7">
      <c r="A17" t="s">
        <v>20</v>
      </c>
      <c r="B17" s="1">
        <v>302</v>
      </c>
      <c r="C17" t="s">
        <v>140</v>
      </c>
      <c r="D17" s="1">
        <v>210</v>
      </c>
      <c r="E17" t="s">
        <v>36</v>
      </c>
      <c r="F17" s="1" t="s">
        <v>21</v>
      </c>
      <c r="G17" t="s">
        <v>23</v>
      </c>
      <c r="H17" s="1" t="s">
        <v>21</v>
      </c>
      <c r="I17" t="s">
        <v>23</v>
      </c>
      <c r="J17" s="1">
        <v>1</v>
      </c>
      <c r="K17" s="1">
        <v>0</v>
      </c>
      <c r="L17" s="5" t="s">
        <v>185</v>
      </c>
      <c r="M17" s="5" t="s">
        <v>186</v>
      </c>
      <c r="N17" s="5" t="s">
        <v>187</v>
      </c>
    </row>
    <row r="18" spans="1:14" x14ac:dyDescent="0.7">
      <c r="A18" t="s">
        <v>20</v>
      </c>
      <c r="B18" s="1">
        <v>302</v>
      </c>
      <c r="C18" t="s">
        <v>140</v>
      </c>
      <c r="D18" s="1">
        <v>211</v>
      </c>
      <c r="E18" t="s">
        <v>37</v>
      </c>
      <c r="F18" s="1" t="s">
        <v>21</v>
      </c>
      <c r="G18" t="s">
        <v>23</v>
      </c>
      <c r="H18" s="1" t="s">
        <v>21</v>
      </c>
      <c r="I18" t="s">
        <v>23</v>
      </c>
      <c r="J18" s="1">
        <v>1</v>
      </c>
      <c r="K18" s="1">
        <v>0</v>
      </c>
      <c r="L18" s="5" t="s">
        <v>188</v>
      </c>
      <c r="M18" s="5" t="s">
        <v>189</v>
      </c>
      <c r="N18" s="5" t="s">
        <v>190</v>
      </c>
    </row>
    <row r="19" spans="1:14" x14ac:dyDescent="0.7">
      <c r="A19" t="s">
        <v>20</v>
      </c>
      <c r="B19" s="1">
        <v>302</v>
      </c>
      <c r="C19" t="s">
        <v>140</v>
      </c>
      <c r="D19" s="1">
        <v>212</v>
      </c>
      <c r="E19" t="s">
        <v>38</v>
      </c>
      <c r="F19" s="1" t="s">
        <v>21</v>
      </c>
      <c r="G19" t="s">
        <v>23</v>
      </c>
      <c r="H19" s="1" t="s">
        <v>21</v>
      </c>
      <c r="I19" t="s">
        <v>23</v>
      </c>
      <c r="J19" s="1">
        <v>1</v>
      </c>
      <c r="K19" s="1">
        <v>0</v>
      </c>
      <c r="L19" s="5" t="s">
        <v>191</v>
      </c>
      <c r="M19" s="5" t="s">
        <v>192</v>
      </c>
      <c r="N19" s="5" t="s">
        <v>193</v>
      </c>
    </row>
    <row r="20" spans="1:14" x14ac:dyDescent="0.7">
      <c r="A20" t="s">
        <v>20</v>
      </c>
      <c r="B20" s="1">
        <v>1</v>
      </c>
      <c r="C20" t="s">
        <v>140</v>
      </c>
      <c r="D20" s="1">
        <v>301</v>
      </c>
      <c r="E20" t="s">
        <v>123</v>
      </c>
      <c r="F20" s="1" t="s">
        <v>21</v>
      </c>
      <c r="G20" t="s">
        <v>23</v>
      </c>
      <c r="H20" s="1" t="s">
        <v>21</v>
      </c>
      <c r="I20" t="s">
        <v>23</v>
      </c>
      <c r="J20" s="1">
        <v>1</v>
      </c>
      <c r="K20" s="1">
        <v>0</v>
      </c>
      <c r="L20" s="5" t="s">
        <v>194</v>
      </c>
      <c r="M20" s="5" t="s">
        <v>195</v>
      </c>
      <c r="N20" s="5" t="s">
        <v>196</v>
      </c>
    </row>
    <row r="21" spans="1:14" x14ac:dyDescent="0.7">
      <c r="A21" t="s">
        <v>20</v>
      </c>
      <c r="B21" s="1">
        <v>1</v>
      </c>
      <c r="C21" t="s">
        <v>140</v>
      </c>
      <c r="D21" s="1">
        <v>302</v>
      </c>
      <c r="E21" t="s">
        <v>124</v>
      </c>
      <c r="F21" s="1" t="s">
        <v>21</v>
      </c>
      <c r="G21" t="s">
        <v>23</v>
      </c>
      <c r="H21" s="1" t="s">
        <v>21</v>
      </c>
      <c r="I21" t="s">
        <v>23</v>
      </c>
      <c r="J21" s="1">
        <v>1</v>
      </c>
      <c r="K21" s="1">
        <v>0</v>
      </c>
      <c r="L21" s="5" t="s">
        <v>197</v>
      </c>
      <c r="M21" s="5" t="s">
        <v>198</v>
      </c>
      <c r="N21" s="5" t="s">
        <v>199</v>
      </c>
    </row>
    <row r="22" spans="1:14" x14ac:dyDescent="0.7">
      <c r="L22" s="5" t="s">
        <v>148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D8397-16C9-44C2-996C-2A6EFE7CF0D0}">
  <sheetPr codeName="Sheet4"/>
  <dimension ref="A1:N6"/>
  <sheetViews>
    <sheetView workbookViewId="0">
      <selection activeCell="F2" sqref="F2"/>
    </sheetView>
  </sheetViews>
  <sheetFormatPr defaultRowHeight="17.649999999999999" x14ac:dyDescent="0.7"/>
  <cols>
    <col min="1" max="1" width="10.0625" bestFit="1" customWidth="1"/>
    <col min="2" max="2" width="14.375" bestFit="1" customWidth="1"/>
    <col min="3" max="3" width="6.875" bestFit="1" customWidth="1"/>
    <col min="4" max="4" width="11.4375" bestFit="1" customWidth="1"/>
    <col min="5" max="5" width="12" bestFit="1" customWidth="1"/>
    <col min="6" max="9" width="13.125" bestFit="1" customWidth="1"/>
    <col min="10" max="10" width="7.6875" bestFit="1" customWidth="1"/>
    <col min="11" max="11" width="8.125" style="5" bestFit="1" customWidth="1"/>
    <col min="12" max="14" width="9" style="5"/>
  </cols>
  <sheetData>
    <row r="1" spans="1:11" x14ac:dyDescent="0.7">
      <c r="B1" s="3" t="s">
        <v>57</v>
      </c>
      <c r="C1" s="3" t="s">
        <v>139</v>
      </c>
      <c r="D1" s="3" t="s">
        <v>58</v>
      </c>
      <c r="E1" s="3" t="s">
        <v>59</v>
      </c>
      <c r="F1" s="3" t="s">
        <v>12</v>
      </c>
      <c r="G1" s="3" t="s">
        <v>13</v>
      </c>
      <c r="H1" s="3" t="s">
        <v>16</v>
      </c>
      <c r="I1" s="3" t="s">
        <v>17</v>
      </c>
      <c r="J1" s="3" t="s">
        <v>18</v>
      </c>
      <c r="K1" s="3" t="s">
        <v>122</v>
      </c>
    </row>
    <row r="2" spans="1:11" x14ac:dyDescent="0.7">
      <c r="B2" s="3" t="s">
        <v>39</v>
      </c>
      <c r="C2" s="3"/>
      <c r="D2" s="3"/>
      <c r="E2" s="3"/>
      <c r="F2" s="3"/>
      <c r="G2" s="3"/>
      <c r="H2" s="3"/>
      <c r="I2" s="3"/>
      <c r="J2" s="3"/>
      <c r="K2" s="3"/>
    </row>
    <row r="3" spans="1:11" x14ac:dyDescent="0.7">
      <c r="B3" s="3" t="s">
        <v>3</v>
      </c>
      <c r="C3" s="3"/>
      <c r="D3" s="3" t="s">
        <v>60</v>
      </c>
      <c r="E3" s="3" t="s">
        <v>60</v>
      </c>
      <c r="F3" s="3" t="s">
        <v>15</v>
      </c>
      <c r="G3" s="3" t="s">
        <v>14</v>
      </c>
      <c r="H3" s="3" t="s">
        <v>15</v>
      </c>
      <c r="I3" s="3" t="s">
        <v>14</v>
      </c>
      <c r="J3" s="3" t="s">
        <v>3</v>
      </c>
      <c r="K3" s="3" t="s">
        <v>3</v>
      </c>
    </row>
    <row r="4" spans="1:11" x14ac:dyDescent="0.7">
      <c r="A4" s="4" t="s">
        <v>19</v>
      </c>
      <c r="B4" s="3" t="s">
        <v>57</v>
      </c>
      <c r="C4" s="3"/>
      <c r="D4" s="3" t="s">
        <v>58</v>
      </c>
      <c r="E4" s="3" t="s">
        <v>59</v>
      </c>
      <c r="F4" s="3" t="s">
        <v>12</v>
      </c>
      <c r="G4" s="3" t="s">
        <v>13</v>
      </c>
      <c r="H4" s="3" t="s">
        <v>16</v>
      </c>
      <c r="I4" s="3" t="s">
        <v>17</v>
      </c>
      <c r="J4" s="3" t="s">
        <v>18</v>
      </c>
      <c r="K4" s="3" t="s">
        <v>122</v>
      </c>
    </row>
    <row r="5" spans="1:11" x14ac:dyDescent="0.7">
      <c r="A5" t="s">
        <v>20</v>
      </c>
      <c r="B5" s="1">
        <v>1</v>
      </c>
      <c r="C5" t="s">
        <v>140</v>
      </c>
      <c r="D5" t="s">
        <v>61</v>
      </c>
      <c r="E5" t="s">
        <v>62</v>
      </c>
      <c r="F5" s="1" t="s">
        <v>21</v>
      </c>
      <c r="G5" t="s">
        <v>23</v>
      </c>
      <c r="H5" s="1" t="s">
        <v>21</v>
      </c>
      <c r="I5" t="s">
        <v>23</v>
      </c>
      <c r="J5" s="1">
        <v>1</v>
      </c>
      <c r="K5" s="1">
        <v>0</v>
      </c>
    </row>
    <row r="6" spans="1:11" x14ac:dyDescent="0.7">
      <c r="A6" t="s">
        <v>20</v>
      </c>
      <c r="B6" s="1">
        <v>2</v>
      </c>
      <c r="C6" t="s">
        <v>140</v>
      </c>
      <c r="D6" t="s">
        <v>63</v>
      </c>
      <c r="E6" t="s">
        <v>64</v>
      </c>
      <c r="F6" s="1" t="s">
        <v>21</v>
      </c>
      <c r="G6" t="s">
        <v>23</v>
      </c>
      <c r="H6" s="1" t="s">
        <v>21</v>
      </c>
      <c r="I6" t="s">
        <v>23</v>
      </c>
      <c r="J6" s="1">
        <v>1</v>
      </c>
      <c r="K6" s="1">
        <v>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一覧</vt:lpstr>
      <vt:lpstr>mst</vt:lpstr>
      <vt:lpstr>フロー一覧</vt:lpstr>
      <vt:lpstr>InsStart</vt:lpstr>
      <vt:lpstr>DelEnd</vt:lpstr>
      <vt:lpstr>T_SMP_Event</vt:lpstr>
      <vt:lpstr>M_SMP_CommonValues</vt:lpstr>
      <vt:lpstr>M_COM_User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原田雄哉</dc:creator>
  <cp:lastModifiedBy>原田雄哉</cp:lastModifiedBy>
  <dcterms:created xsi:type="dcterms:W3CDTF">2018-04-21T03:07:16Z</dcterms:created>
  <dcterms:modified xsi:type="dcterms:W3CDTF">2018-09-16T14:35:02Z</dcterms:modified>
</cp:coreProperties>
</file>